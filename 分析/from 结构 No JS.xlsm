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7950" firstSheet="5" activeTab="13"/>
  </bookViews>
  <sheets>
    <sheet name="API文档" sheetId="1" r:id="rId1"/>
    <sheet name="json格式" sheetId="3" r:id="rId2"/>
    <sheet name="自动化脚本" sheetId="4" r:id="rId3"/>
    <sheet name="工具" sheetId="5" r:id="rId4"/>
    <sheet name="Form.Item.type" sheetId="6" r:id="rId5"/>
    <sheet name="rules.type" sheetId="7" r:id="rId6"/>
    <sheet name="Select" sheetId="16" r:id="rId7"/>
    <sheet name="input" sheetId="8" r:id="rId8"/>
    <sheet name="InputNumber" sheetId="9" r:id="rId9"/>
    <sheet name="Switch" sheetId="10" r:id="rId10"/>
    <sheet name="Radio" sheetId="11" r:id="rId11"/>
    <sheet name="Slider" sheetId="12" r:id="rId12"/>
    <sheet name="Button" sheetId="13" r:id="rId13"/>
    <sheet name="Upload" sheetId="14" r:id="rId14"/>
    <sheet name="Rate" sheetId="15" r:id="rId15"/>
  </sheets>
  <calcPr calcId="144525" concurrentCalc="0"/>
</workbook>
</file>

<file path=xl/sharedStrings.xml><?xml version="1.0" encoding="utf-8"?>
<sst xmlns="http://schemas.openxmlformats.org/spreadsheetml/2006/main" count="607">
  <si>
    <t>顶级</t>
  </si>
  <si>
    <t>Form</t>
  </si>
  <si>
    <t>Attr</t>
  </si>
  <si>
    <t>hideRequiredMark</t>
  </si>
  <si>
    <t>隐藏所有表单项的必选标记</t>
  </si>
  <si>
    <t>Boolean</t>
  </si>
  <si>
    <t>layout</t>
  </si>
  <si>
    <t>表单布局(2.8 之后支持)</t>
  </si>
  <si>
    <t>'horizontal'|'vertical'|'inline'</t>
  </si>
  <si>
    <t>'horizontal'</t>
  </si>
  <si>
    <t>onSubmit</t>
  </si>
  <si>
    <t>数据验证成功后回调事件</t>
  </si>
  <si>
    <t>Function(e:Event)</t>
  </si>
  <si>
    <t>Form.create(options)</t>
  </si>
  <si>
    <t>mapPropsToFields</t>
  </si>
  <si>
    <t>把父组件的属性映射到表单项上（如：把 Redux store 中的值读出），需要对返回值中的表单域数据用 Form.createFormField 标记</t>
  </si>
  <si>
    <t>(props) =&gt; Object{ fieldName: FormField { value } }</t>
  </si>
  <si>
    <t>validateMessages</t>
  </si>
  <si>
    <t>默认校验信息，可用于把默认错误信息改为中文等，格式与 newMessages 返回值一致</t>
  </si>
  <si>
    <t>Object { nested.path: String }</t>
  </si>
  <si>
    <t>onFieldsChange</t>
  </si>
  <si>
    <r>
      <rPr>
        <sz val="10.5"/>
        <color rgb="FF314659"/>
        <rFont val="Segoe UI"/>
        <charset val="134"/>
      </rPr>
      <t>当 </t>
    </r>
    <r>
      <rPr>
        <sz val="10.8"/>
        <color rgb="FF314659"/>
        <rFont val="Consolas"/>
        <charset val="134"/>
      </rPr>
      <t>Form.Item</t>
    </r>
    <r>
      <rPr>
        <sz val="10.5"/>
        <color rgb="FF314659"/>
        <rFont val="Segoe UI"/>
        <charset val="134"/>
      </rPr>
      <t> 子节点的值发生改变时触发，可以把对应的值转存到 Redux store</t>
    </r>
  </si>
  <si>
    <t>Function(props, fields)</t>
  </si>
  <si>
    <t>onValuesChange</t>
  </si>
  <si>
    <t>任一表单域的值发生改变时的回调</t>
  </si>
  <si>
    <t>(props, changedValues, allValues) =&gt; void</t>
  </si>
  <si>
    <t>Form.createFormField</t>
  </si>
  <si>
    <r>
      <rPr>
        <sz val="10.5"/>
        <color rgb="FF314659"/>
        <rFont val="Segoe UI"/>
        <charset val="134"/>
      </rPr>
      <t>用于标记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mapPropsToFields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返回的表单域数据</t>
    </r>
  </si>
  <si>
    <t>Form.Item</t>
  </si>
  <si>
    <t>colon</t>
  </si>
  <si>
    <t>配合 label 属性使用，表示是否显示 label 后面的冒号</t>
  </si>
  <si>
    <t>boolean</t>
  </si>
  <si>
    <t>extra</t>
  </si>
  <si>
    <t>额外的提示信息，和 help 类似，当需要错误信息和提示文案同时出现时，可以使用这个。</t>
  </si>
  <si>
    <t>string|ReactNode</t>
  </si>
  <si>
    <t>hasFeedback</t>
  </si>
  <si>
    <t>配合 validateStatus 属性使用，展示校验状态图标，建议只配合 Input 组件使用</t>
  </si>
  <si>
    <t xml:space="preserve">help </t>
  </si>
  <si>
    <t>提示信息，如不设置，则会根据校验规则自动生成</t>
  </si>
  <si>
    <t>label</t>
  </si>
  <si>
    <t>label 标签的文本</t>
  </si>
  <si>
    <t>labelCol</t>
  </si>
  <si>
    <r>
      <rPr>
        <sz val="10.5"/>
        <color rgb="FF314659"/>
        <rFont val="Segoe UI"/>
        <charset val="134"/>
      </rPr>
      <t xml:space="preserve">label </t>
    </r>
    <r>
      <rPr>
        <sz val="10.5"/>
        <color rgb="FF314659"/>
        <rFont val="宋体"/>
        <charset val="134"/>
      </rPr>
      <t>标签布局，同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&lt;Col&gt;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组件，设置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spanoffset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值，如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{span: 3, offset: 12}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sm: {span: 3, offset: 12}</t>
    </r>
  </si>
  <si>
    <t>object</t>
  </si>
  <si>
    <t>required</t>
  </si>
  <si>
    <t>是否必填，如不设置，则会根据校验规则自动生成</t>
  </si>
  <si>
    <t>validateStatus</t>
  </si>
  <si>
    <t>校验状态，如不设置，则会根据校验规则自动生成，可选：'success' 'warning' 'error' 'validating'</t>
  </si>
  <si>
    <t>string</t>
  </si>
  <si>
    <t>wrapperCol</t>
  </si>
  <si>
    <r>
      <rPr>
        <sz val="10.5"/>
        <color rgb="FF314659"/>
        <rFont val="宋体"/>
        <charset val="134"/>
      </rPr>
      <t>需要为输入控件设置布局样式时，使用该属性，用法同</t>
    </r>
    <r>
      <rPr>
        <sz val="10.5"/>
        <color rgb="FF314659"/>
        <rFont val="Segoe UI"/>
        <charset val="134"/>
      </rPr>
      <t xml:space="preserve"> labelCol</t>
    </r>
  </si>
  <si>
    <t>type</t>
  </si>
  <si>
    <t>(输入框的类型先完成Input和Button 默认是Input,如果是Button就不用 getFieldDecorator)</t>
  </si>
  <si>
    <t>getFieldDecorator</t>
  </si>
  <si>
    <t>()</t>
  </si>
  <si>
    <r>
      <rPr>
        <sz val="10.5"/>
        <color rgb="FF314659"/>
        <rFont val="宋体"/>
        <charset val="134"/>
      </rPr>
      <t>用于和表单进行双向绑定，详见下方描述</t>
    </r>
    <r>
      <rPr>
        <sz val="10.5"/>
        <color rgb="FF314659"/>
        <rFont val="Segoe UI"/>
        <charset val="134"/>
      </rPr>
      <t xml:space="preserve">    getFieldDecorator(id, options) </t>
    </r>
    <r>
      <rPr>
        <sz val="10.5"/>
        <color rgb="FF314659"/>
        <rFont val="宋体"/>
        <charset val="134"/>
      </rPr>
      <t>参数</t>
    </r>
  </si>
  <si>
    <t>id</t>
  </si>
  <si>
    <t>必填输入控件唯一标志。支持嵌套式的写法。</t>
  </si>
  <si>
    <t>options.getValueFromEvent</t>
  </si>
  <si>
    <t>可以把 onChange 的参数（如 event）转化为控件的值</t>
  </si>
  <si>
    <t>function(..args)</t>
  </si>
  <si>
    <t>reference</t>
  </si>
  <si>
    <t>options.initialValue</t>
  </si>
  <si>
    <r>
      <rPr>
        <sz val="10.5"/>
        <color rgb="FF314659"/>
        <rFont val="Segoe UI"/>
        <charset val="134"/>
      </rPr>
      <t>子节点的初始值，类型、可选值均由子节点决定(注意：由于内部校验时使用 </t>
    </r>
    <r>
      <rPr>
        <sz val="10.8"/>
        <color rgb="FF314659"/>
        <rFont val="Consolas"/>
        <charset val="134"/>
      </rPr>
      <t>===</t>
    </r>
    <r>
      <rPr>
        <sz val="10.5"/>
        <color rgb="FF314659"/>
        <rFont val="Segoe UI"/>
        <charset val="134"/>
      </rPr>
      <t> 判断是否变化，建议使用变量缓存所需设置的值而非直接使用字面量))</t>
    </r>
  </si>
  <si>
    <t>options.normalize</t>
  </si>
  <si>
    <t>转换默认的 value 给控件，一个选择全部的例子</t>
  </si>
  <si>
    <t>function(value, prevValue, allValues): any</t>
  </si>
  <si>
    <t>-</t>
  </si>
  <si>
    <t>options.rules</t>
  </si>
  <si>
    <t>校验规则，参考下方文档</t>
  </si>
  <si>
    <t>object[]</t>
  </si>
  <si>
    <t>enum</t>
  </si>
  <si>
    <t>枚举类型</t>
  </si>
  <si>
    <t>len</t>
  </si>
  <si>
    <t>字段长度</t>
  </si>
  <si>
    <t>number</t>
  </si>
  <si>
    <t>max</t>
  </si>
  <si>
    <t>最大长度</t>
  </si>
  <si>
    <t>message</t>
  </si>
  <si>
    <r>
      <rPr>
        <sz val="10.5"/>
        <color rgb="FF000000"/>
        <rFont val="Segoe UI"/>
        <charset val="134"/>
      </rPr>
      <t>校验</t>
    </r>
    <r>
      <rPr>
        <sz val="10.5"/>
        <color rgb="FF314659"/>
        <rFont val="Segoe UI"/>
        <charset val="134"/>
      </rPr>
      <t>文案</t>
    </r>
  </si>
  <si>
    <t>min</t>
  </si>
  <si>
    <t>最小长度</t>
  </si>
  <si>
    <t>pattern</t>
  </si>
  <si>
    <r>
      <rPr>
        <sz val="10.5"/>
        <color rgb="FF314659"/>
        <rFont val="Segoe UI"/>
        <charset val="134"/>
      </rPr>
      <t>正则表达式</t>
    </r>
    <r>
      <rPr>
        <sz val="10.5"/>
        <color rgb="FF000000"/>
        <rFont val="Segoe UI"/>
        <charset val="134"/>
      </rPr>
      <t>校验</t>
    </r>
  </si>
  <si>
    <t>RegExp</t>
  </si>
  <si>
    <t>是否必选</t>
  </si>
  <si>
    <t>transform</t>
  </si>
  <si>
    <r>
      <rPr>
        <sz val="10.5"/>
        <color rgb="FF000000"/>
        <rFont val="Segoe UI"/>
        <charset val="134"/>
      </rPr>
      <t>校验</t>
    </r>
    <r>
      <rPr>
        <sz val="10.5"/>
        <color rgb="FF314659"/>
        <rFont val="Segoe UI"/>
        <charset val="134"/>
      </rPr>
      <t>前转换字段值</t>
    </r>
  </si>
  <si>
    <t>function(value) =&gt; transformedValue:any</t>
  </si>
  <si>
    <t>内建校验类型，可选项</t>
  </si>
  <si>
    <t>'string'</t>
  </si>
  <si>
    <t>validator</t>
  </si>
  <si>
    <t>自定义校验（注意，callback 必须被调用）</t>
  </si>
  <si>
    <t>function(rule, value, callback)</t>
  </si>
  <si>
    <t>whitespace</t>
  </si>
  <si>
    <t>必选时，空格是否会被视为错误</t>
  </si>
  <si>
    <t>options.trigger</t>
  </si>
  <si>
    <t>收集子节点的值的时机</t>
  </si>
  <si>
    <t>'onChange'</t>
  </si>
  <si>
    <t>options.validateFirst</t>
  </si>
  <si>
    <t>当某一规则校验不通过时，是否停止剩下的规则的校验</t>
  </si>
  <si>
    <t>options.validateTrigger</t>
  </si>
  <si>
    <t>校验子节点值的时机</t>
  </si>
  <si>
    <t>string|string[]</t>
  </si>
  <si>
    <t>options.valuePropName</t>
  </si>
  <si>
    <t>子节点的值的属性，如 Switch 的是 'checked'</t>
  </si>
  <si>
    <t>'value'</t>
  </si>
  <si>
    <t>getFieldError</t>
  </si>
  <si>
    <t>获取某个输入控件的 Error</t>
  </si>
  <si>
    <t>Function(name)</t>
  </si>
  <si>
    <t>getFieldsError</t>
  </si>
  <si>
    <t>获取一组输入控件的 Error ，如不传入参数，则获取全部组件的 Error</t>
  </si>
  <si>
    <t>Function([names: string[]])</t>
  </si>
  <si>
    <t>getFieldsValue</t>
  </si>
  <si>
    <t>获取一组输入控件的值，如不传入参数，则获取全部组件的值</t>
  </si>
  <si>
    <t>Function([fieldNames: string[]])</t>
  </si>
  <si>
    <t>getFieldValue</t>
  </si>
  <si>
    <t>获取一个输入控件的值</t>
  </si>
  <si>
    <t>Function(fieldName: string)</t>
  </si>
  <si>
    <t>isFieldsTouched</t>
  </si>
  <si>
    <r>
      <rPr>
        <sz val="10.5"/>
        <color rgb="FF314659"/>
        <rFont val="Segoe UI"/>
        <charset val="134"/>
      </rPr>
      <t>判断是否任一输入控件经历过 </t>
    </r>
    <r>
      <rPr>
        <sz val="10.8"/>
        <color rgb="FF314659"/>
        <rFont val="Consolas"/>
        <charset val="134"/>
      </rPr>
      <t>getFieldDecorator</t>
    </r>
    <r>
      <rPr>
        <sz val="10.5"/>
        <color rgb="FF314659"/>
        <rFont val="Segoe UI"/>
        <charset val="134"/>
      </rPr>
      <t> 的值收集时机 </t>
    </r>
    <r>
      <rPr>
        <sz val="10.8"/>
        <color rgb="FF314659"/>
        <rFont val="Consolas"/>
        <charset val="134"/>
      </rPr>
      <t>options.trigger</t>
    </r>
  </si>
  <si>
    <t>(names?: string[]) =&gt; boolean</t>
  </si>
  <si>
    <t>isFieldTouched</t>
  </si>
  <si>
    <r>
      <rPr>
        <sz val="10.5"/>
        <color rgb="FF314659"/>
        <rFont val="Segoe UI"/>
        <charset val="134"/>
      </rPr>
      <t>判断一个输入控件是否经历过 </t>
    </r>
    <r>
      <rPr>
        <sz val="10.8"/>
        <color rgb="FF314659"/>
        <rFont val="Consolas"/>
        <charset val="134"/>
      </rPr>
      <t>getFieldDecorator</t>
    </r>
    <r>
      <rPr>
        <sz val="10.5"/>
        <color rgb="FF314659"/>
        <rFont val="Segoe UI"/>
        <charset val="134"/>
      </rPr>
      <t> 的值收集时机 </t>
    </r>
    <r>
      <rPr>
        <sz val="10.8"/>
        <color rgb="FF314659"/>
        <rFont val="Consolas"/>
        <charset val="134"/>
      </rPr>
      <t>options.trigger</t>
    </r>
  </si>
  <si>
    <t>(name: string) =&gt; boolean</t>
  </si>
  <si>
    <t>isFieldValidating</t>
  </si>
  <si>
    <t>判断一个输入控件是否在校验状态</t>
  </si>
  <si>
    <t>resetFields</t>
  </si>
  <si>
    <r>
      <rPr>
        <sz val="10.5"/>
        <color rgb="FF314659"/>
        <rFont val="Segoe UI"/>
        <charset val="134"/>
      </rPr>
      <t>重置一组输入控件的值（为 </t>
    </r>
    <r>
      <rPr>
        <sz val="10.8"/>
        <color rgb="FF314659"/>
        <rFont val="Consolas"/>
        <charset val="134"/>
      </rPr>
      <t>initialValue</t>
    </r>
    <r>
      <rPr>
        <sz val="10.5"/>
        <color rgb="FF314659"/>
        <rFont val="Segoe UI"/>
        <charset val="134"/>
      </rPr>
      <t>）与状态，如不传入参数，则重置所有组件</t>
    </r>
  </si>
  <si>
    <t>setFields</t>
  </si>
  <si>
    <t>设置一组输入控件的值与 Error。 代码</t>
  </si>
  <si>
    <t>Function({ fieldName: { value: any, errors: Error } })</t>
  </si>
  <si>
    <t>setFieldsValue</t>
  </si>
  <si>
    <t>设置一组输入控件的值（注意：不要在 componentWillReceiveProps 内使用，否则会导致死循环，更多）</t>
  </si>
  <si>
    <t>Function({ fieldName: value }</t>
  </si>
  <si>
    <t>validateFields</t>
  </si>
  <si>
    <t>校验并获取一组输入域的值与 Error，若 fieldNames 参数为空，则校验全部组件</t>
  </si>
  <si>
    <t>Function([fieldNames: string[]], options: object, callback: Function(errors, values))</t>
  </si>
  <si>
    <t>validateFieldsAndScroll</t>
  </si>
  <si>
    <r>
      <rPr>
        <sz val="10.5"/>
        <color rgb="FF314659"/>
        <rFont val="Segoe UI"/>
        <charset val="134"/>
      </rPr>
      <t>与 </t>
    </r>
    <r>
      <rPr>
        <sz val="10.8"/>
        <color rgb="FF314659"/>
        <rFont val="Consolas"/>
        <charset val="134"/>
      </rPr>
      <t>validateFields</t>
    </r>
    <r>
      <rPr>
        <sz val="10.5"/>
        <color rgb="FF314659"/>
        <rFont val="Segoe UI"/>
        <charset val="134"/>
      </rPr>
      <t> 相似，但校验完后，如果校验不通过的菜单域不在可见范围内，则自动滚动进可见范围</t>
    </r>
  </si>
  <si>
    <r>
      <rPr>
        <sz val="9"/>
        <color rgb="FF314659"/>
        <rFont val="Lucida Console"/>
        <charset val="134"/>
      </rPr>
      <t>参考 </t>
    </r>
    <r>
      <rPr>
        <sz val="10.8"/>
        <color rgb="FF314659"/>
        <rFont val="Consolas"/>
        <charset val="134"/>
      </rPr>
      <t>validateFields</t>
    </r>
  </si>
  <si>
    <t>this.props.form.validateFields
/validateFieldsAndScrolll</t>
  </si>
  <si>
    <t>options.first</t>
  </si>
  <si>
    <t>若为 true，则每一表单域的都会在碰到第一个失败了的校验规则后停止校验</t>
  </si>
  <si>
    <t>options.firstFields</t>
  </si>
  <si>
    <t>指定表单域会在碰到第一个失败了的校验规则后停止校验</t>
  </si>
  <si>
    <t>String[]</t>
  </si>
  <si>
    <t>[]</t>
  </si>
  <si>
    <t>options.force</t>
  </si>
  <si>
    <r>
      <rPr>
        <sz val="10.5"/>
        <color rgb="FF314659"/>
        <rFont val="宋体"/>
        <charset val="134"/>
      </rPr>
      <t>对已经校验过的表单域，在</t>
    </r>
    <r>
      <rPr>
        <sz val="10.5"/>
        <color rgb="FF314659"/>
        <rFont val="Segoe UI"/>
        <charset val="134"/>
      </rPr>
      <t xml:space="preserve"> validateTrigger </t>
    </r>
    <r>
      <rPr>
        <sz val="10.5"/>
        <color rgb="FF314659"/>
        <rFont val="宋体"/>
        <charset val="134"/>
      </rPr>
      <t>再次被触发时是否再次校验</t>
    </r>
  </si>
  <si>
    <t>options.scroll</t>
  </si>
  <si>
    <t>定义 validateFieldsAndScroll 的滚动行为，详细配置见 dom-scroll-into-view config</t>
  </si>
  <si>
    <t>Object</t>
  </si>
  <si>
    <t>{}</t>
  </si>
  <si>
    <t>LBL,TYP,FLDSZ,REQD,UNIQ,SCU,Aid,Content,</t>
  </si>
  <si>
    <t>antButton,antButton,m,0,0,pub,antButton,antButton,</t>
  </si>
  <si>
    <t>:{</t>
  </si>
  <si>
    <t>:"",</t>
  </si>
  <si>
    <t>FormItems</t>
  </si>
  <si>
    <t>Form.Item(FromItem)</t>
  </si>
  <si>
    <t>加个type</t>
  </si>
  <si>
    <t>name</t>
  </si>
  <si>
    <t xml:space="preserve"> attr</t>
  </si>
  <si>
    <t>options.rules(Rules)</t>
  </si>
  <si>
    <t>首字母大写其余小写</t>
  </si>
  <si>
    <t>节点</t>
  </si>
  <si>
    <t>首字母大写,其余保留</t>
  </si>
  <si>
    <t>attr</t>
  </si>
  <si>
    <t>FormItem</t>
  </si>
  <si>
    <t>现在的自动化基本,只是修改Json中的值,HTML可以保留,JS修改</t>
  </si>
  <si>
    <t>校验规则</t>
  </si>
  <si>
    <t>属性</t>
  </si>
  <si>
    <t>说明</t>
  </si>
  <si>
    <t>类型</t>
  </si>
  <si>
    <t>默认值</t>
  </si>
  <si>
    <t>样式</t>
  </si>
  <si>
    <t>授权的属性</t>
  </si>
  <si>
    <t>Json中的值</t>
  </si>
  <si>
    <t>控件名</t>
  </si>
  <si>
    <t>控件API字段</t>
  </si>
  <si>
    <t>控件类型</t>
  </si>
  <si>
    <t>Notice</t>
  </si>
  <si>
    <t>选项列表</t>
  </si>
  <si>
    <t>JsonStruct</t>
  </si>
  <si>
    <t>HTML</t>
  </si>
  <si>
    <t>JS</t>
  </si>
  <si>
    <t>Json</t>
  </si>
  <si>
    <t>JS setPropertieValues 根据Json中的值给控件赋值 自己加</t>
  </si>
  <si>
    <t>Rules</t>
  </si>
  <si>
    <t>文本</t>
  </si>
  <si>
    <t>FormItem.getFieldDecorator.rules</t>
  </si>
  <si>
    <t>下拉框</t>
  </si>
  <si>
    <t>&lt;false&gt;,&lt;true&gt;</t>
  </si>
  <si>
    <t>string','number','boolean','method','regexp','integer','float','array','object','enum','date','url','hex','email'</t>
  </si>
  <si>
    <t>https://github.com/yiminghe/async-validator#type</t>
  </si>
  <si>
    <t>JS propertyInit() 后面</t>
  </si>
  <si>
    <t>true,false</t>
  </si>
  <si>
    <r>
      <rPr>
        <sz val="10.5"/>
        <color rgb="FF314659"/>
        <rFont val="Segoe UI"/>
        <charset val="134"/>
      </rPr>
      <t>label 标签布局，同 </t>
    </r>
    <r>
      <rPr>
        <sz val="10.8"/>
        <color rgb="FF314659"/>
        <rFont val="Consolas"/>
        <charset val="134"/>
      </rPr>
      <t>&lt;Col&gt;</t>
    </r>
    <r>
      <rPr>
        <sz val="10.5"/>
        <color rgb="FF314659"/>
        <rFont val="Segoe UI"/>
        <charset val="134"/>
      </rPr>
      <t> 组件，设置 </t>
    </r>
    <r>
      <rPr>
        <sz val="10.8"/>
        <color rgb="FF314659"/>
        <rFont val="Consolas"/>
        <charset val="134"/>
      </rPr>
      <t>spanoffset</t>
    </r>
    <r>
      <rPr>
        <sz val="10.5"/>
        <color rgb="FF314659"/>
        <rFont val="Segoe UI"/>
        <charset val="134"/>
      </rPr>
      <t> 值，如 </t>
    </r>
    <r>
      <rPr>
        <sz val="10.8"/>
        <color rgb="FF314659"/>
        <rFont val="Consolas"/>
        <charset val="134"/>
      </rPr>
      <t>{span: 3, offset: 12}</t>
    </r>
    <r>
      <rPr>
        <sz val="10.5"/>
        <color rgb="FF314659"/>
        <rFont val="Segoe UI"/>
        <charset val="134"/>
      </rPr>
      <t> 或 </t>
    </r>
    <r>
      <rPr>
        <sz val="10.8"/>
        <color rgb="FF314659"/>
        <rFont val="Consolas"/>
        <charset val="134"/>
      </rPr>
      <t>sm: {span: 3, offset: 12}</t>
    </r>
  </si>
  <si>
    <t>设置控件的名称和Dom Id(不可以重复,不能包含特殊符号,且是英文,)</t>
  </si>
  <si>
    <t>赋值权限</t>
  </si>
  <si>
    <t>控件内属性</t>
  </si>
  <si>
    <t>pFormItemcolon</t>
  </si>
  <si>
    <t>pFormItemextra</t>
  </si>
  <si>
    <t>pFormItemlabel</t>
  </si>
  <si>
    <t>pFormItemlabelCol</t>
  </si>
  <si>
    <t>pFormItemwrapperCol</t>
  </si>
  <si>
    <t>pFormItemtype</t>
  </si>
  <si>
    <t>pFormItemname</t>
  </si>
  <si>
    <t>自己添加,可以在FormItem中可以增加其他的控件
不同的控件,会有不同的属性,不同required规则</t>
  </si>
  <si>
    <t>Form.Item.type</t>
  </si>
  <si>
    <t>input</t>
  </si>
  <si>
    <t>参数</t>
  </si>
  <si>
    <t>addonAfter</t>
  </si>
  <si>
    <r>
      <t>带标签的</t>
    </r>
    <r>
      <rPr>
        <sz val="11"/>
        <color rgb="FF314659"/>
        <rFont val="Segoe UI"/>
        <charset val="134"/>
      </rPr>
      <t xml:space="preserve"> input</t>
    </r>
    <r>
      <rPr>
        <sz val="11"/>
        <color rgb="FF314659"/>
        <rFont val="宋体"/>
        <charset val="134"/>
      </rPr>
      <t>，设置后置标签</t>
    </r>
  </si>
  <si>
    <t>addonBefore</t>
  </si>
  <si>
    <r>
      <t>带标签的</t>
    </r>
    <r>
      <rPr>
        <sz val="11"/>
        <color rgb="FF314659"/>
        <rFont val="Segoe UI"/>
        <charset val="134"/>
      </rPr>
      <t xml:space="preserve"> input</t>
    </r>
    <r>
      <rPr>
        <sz val="11"/>
        <color rgb="FF314659"/>
        <rFont val="宋体"/>
        <charset val="134"/>
      </rPr>
      <t>，设置前置标签</t>
    </r>
  </si>
  <si>
    <t>defaultValue</t>
  </si>
  <si>
    <t>输入框默认内容</t>
  </si>
  <si>
    <t>disabled</t>
  </si>
  <si>
    <r>
      <t>是否禁用状态，默认为</t>
    </r>
    <r>
      <rPr>
        <sz val="11"/>
        <color rgb="FF314659"/>
        <rFont val="Segoe UI"/>
        <charset val="134"/>
      </rPr>
      <t xml:space="preserve"> false</t>
    </r>
  </si>
  <si>
    <r>
      <t>输入框的</t>
    </r>
    <r>
      <rPr>
        <sz val="11"/>
        <color rgb="FF314659"/>
        <rFont val="Segoe UI"/>
        <charset val="134"/>
      </rPr>
      <t xml:space="preserve"> id</t>
    </r>
  </si>
  <si>
    <t>prefix</t>
  </si>
  <si>
    <r>
      <t>带有前缀图标的</t>
    </r>
    <r>
      <rPr>
        <sz val="11"/>
        <color rgb="FF314659"/>
        <rFont val="Segoe UI"/>
        <charset val="134"/>
      </rPr>
      <t xml:space="preserve"> input</t>
    </r>
  </si>
  <si>
    <t>size</t>
  </si>
  <si>
    <r>
      <t>控件大小。注：标准表单内的输入框大小限制为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large</t>
    </r>
    <r>
      <rPr>
        <sz val="11"/>
        <color rgb="FF314659"/>
        <rFont val="宋体"/>
        <charset val="134"/>
      </rPr>
      <t>。可选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large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default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small</t>
    </r>
  </si>
  <si>
    <t>default</t>
  </si>
  <si>
    <t>suffix</t>
  </si>
  <si>
    <r>
      <t>带有后缀图标的</t>
    </r>
    <r>
      <rPr>
        <sz val="11"/>
        <color rgb="FF314659"/>
        <rFont val="Segoe UI"/>
        <charset val="134"/>
      </rPr>
      <t xml:space="preserve"> input</t>
    </r>
  </si>
  <si>
    <r>
      <t>声明</t>
    </r>
    <r>
      <rPr>
        <sz val="11"/>
        <color rgb="FF314659"/>
        <rFont val="Segoe UI"/>
        <charset val="134"/>
      </rPr>
      <t xml:space="preserve"> input </t>
    </r>
    <r>
      <rPr>
        <sz val="11"/>
        <color rgb="FF314659"/>
        <rFont val="宋体"/>
        <charset val="134"/>
      </rPr>
      <t>类型，同原生</t>
    </r>
    <r>
      <rPr>
        <sz val="11"/>
        <color rgb="FF314659"/>
        <rFont val="Segoe UI"/>
        <charset val="134"/>
      </rPr>
      <t xml:space="preserve"> input </t>
    </r>
    <r>
      <rPr>
        <sz val="11"/>
        <color rgb="FF314659"/>
        <rFont val="宋体"/>
        <charset val="134"/>
      </rPr>
      <t>标签的</t>
    </r>
    <r>
      <rPr>
        <sz val="11"/>
        <color rgb="FF314659"/>
        <rFont val="Segoe UI"/>
        <charset val="134"/>
      </rPr>
      <t xml:space="preserve"> type </t>
    </r>
    <r>
      <rPr>
        <sz val="11"/>
        <color rgb="FF314659"/>
        <rFont val="宋体"/>
        <charset val="134"/>
      </rPr>
      <t>属性，见：</t>
    </r>
    <r>
      <rPr>
        <sz val="11"/>
        <color rgb="FF314659"/>
        <rFont val="Segoe UI"/>
        <charset val="134"/>
      </rPr>
      <t>MDN(</t>
    </r>
    <r>
      <rPr>
        <sz val="11"/>
        <color rgb="FF314659"/>
        <rFont val="宋体"/>
        <charset val="134"/>
      </rPr>
      <t>请直接使用</t>
    </r>
    <r>
      <rPr>
        <sz val="11"/>
        <color rgb="FF314659"/>
        <rFont val="Segoe UI"/>
        <charset val="134"/>
      </rPr>
      <t> Input.TextArea </t>
    </r>
    <r>
      <rPr>
        <sz val="11"/>
        <color rgb="FF314659"/>
        <rFont val="宋体"/>
        <charset val="134"/>
      </rPr>
      <t>代替</t>
    </r>
    <r>
      <rPr>
        <sz val="11"/>
        <color rgb="FF314659"/>
        <rFont val="Segoe UI"/>
        <charset val="134"/>
      </rPr>
      <t> type="textarea")</t>
    </r>
    <r>
      <rPr>
        <sz val="11"/>
        <color rgb="FF314659"/>
        <rFont val="宋体"/>
        <charset val="134"/>
      </rPr>
      <t>。</t>
    </r>
  </si>
  <si>
    <r>
      <t>text[</t>
    </r>
    <r>
      <rPr>
        <sz val="11"/>
        <color rgb="FF314659"/>
        <rFont val="宋体"/>
        <charset val="134"/>
      </rPr>
      <t>其它值测试了可以用</t>
    </r>
    <r>
      <rPr>
        <sz val="11"/>
        <color rgb="FF314659"/>
        <rFont val="Consolas"/>
        <charset val="134"/>
      </rPr>
      <t>,</t>
    </r>
    <r>
      <rPr>
        <sz val="11"/>
        <color rgb="FF314659"/>
        <rFont val="宋体"/>
        <charset val="134"/>
      </rPr>
      <t>但CSS就有点丑了</t>
    </r>
    <r>
      <rPr>
        <sz val="11"/>
        <color rgb="FF314659"/>
        <rFont val="Consolas"/>
        <charset val="134"/>
      </rPr>
      <t>]</t>
    </r>
  </si>
  <si>
    <t>value</t>
  </si>
  <si>
    <t>输入框内容</t>
  </si>
  <si>
    <t>onPressEnter</t>
  </si>
  <si>
    <t>按下回车的回调</t>
  </si>
  <si>
    <t>function(e)</t>
  </si>
  <si>
    <t>select</t>
  </si>
  <si>
    <t>allowClear</t>
  </si>
  <si>
    <t>支持清除</t>
  </si>
  <si>
    <t>autoFocus</t>
  </si>
  <si>
    <t>默认获取焦点</t>
  </si>
  <si>
    <t>combobox</t>
  </si>
  <si>
    <r>
      <t>输入框自动提示模式（</t>
    </r>
    <r>
      <rPr>
        <sz val="11"/>
        <color rgb="FF314659"/>
        <rFont val="Segoe UI"/>
        <charset val="134"/>
      </rPr>
      <t xml:space="preserve">2.9 </t>
    </r>
    <r>
      <rPr>
        <sz val="11"/>
        <color rgb="FF314659"/>
        <rFont val="宋体"/>
        <charset val="134"/>
      </rPr>
      <t>之后废弃，请使用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mode</t>
    </r>
    <r>
      <rPr>
        <sz val="11"/>
        <color rgb="FF314659"/>
        <rFont val="宋体"/>
        <charset val="134"/>
      </rPr>
      <t>）</t>
    </r>
  </si>
  <si>
    <t>defaultActiveFirstOption</t>
  </si>
  <si>
    <t>是否默认高亮第一个选项。</t>
  </si>
  <si>
    <t>指定默认选中的条目</t>
  </si>
  <si>
    <t>string|string[]|number|number[]</t>
  </si>
  <si>
    <t>是否禁用</t>
  </si>
  <si>
    <t>dropdownClassName</t>
  </si>
  <si>
    <r>
      <t>下拉菜单的</t>
    </r>
    <r>
      <rPr>
        <sz val="11"/>
        <color rgb="FF314659"/>
        <rFont val="Segoe UI"/>
        <charset val="134"/>
      </rPr>
      <t xml:space="preserve"> className </t>
    </r>
    <r>
      <rPr>
        <sz val="11"/>
        <color rgb="FF314659"/>
        <rFont val="宋体"/>
        <charset val="134"/>
      </rPr>
      <t>属性</t>
    </r>
  </si>
  <si>
    <t>dropdownMatchSelectWidth</t>
  </si>
  <si>
    <t>下拉菜单和选择器同宽</t>
  </si>
  <si>
    <t>dropdownStyle</t>
  </si>
  <si>
    <r>
      <t>下拉菜单的</t>
    </r>
    <r>
      <rPr>
        <sz val="11"/>
        <color rgb="FF314659"/>
        <rFont val="Segoe UI"/>
        <charset val="134"/>
      </rPr>
      <t xml:space="preserve"> style </t>
    </r>
    <r>
      <rPr>
        <sz val="11"/>
        <color rgb="FF314659"/>
        <rFont val="宋体"/>
        <charset val="134"/>
      </rPr>
      <t>属性</t>
    </r>
  </si>
  <si>
    <t>filterOption</t>
  </si>
  <si>
    <r>
      <t>是否根据输入项进行筛选。当其为一个函数时，会接收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inputValueoption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宋体"/>
        <charset val="134"/>
      </rPr>
      <t>两个参数，当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option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宋体"/>
        <charset val="134"/>
      </rPr>
      <t>符合筛选条件时，应返回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true</t>
    </r>
    <r>
      <rPr>
        <sz val="11"/>
        <color rgb="FF314659"/>
        <rFont val="宋体"/>
        <charset val="134"/>
      </rPr>
      <t>，反之则返回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false</t>
    </r>
    <r>
      <rPr>
        <sz val="11"/>
        <color rgb="FF314659"/>
        <rFont val="宋体"/>
        <charset val="134"/>
      </rPr>
      <t>。</t>
    </r>
  </si>
  <si>
    <t>boolean or function(inputValue, option)</t>
  </si>
  <si>
    <t>firstActiveValue</t>
  </si>
  <si>
    <t>默认高亮的选项</t>
  </si>
  <si>
    <t>getPopupContainer</t>
  </si>
  <si>
    <r>
      <t>菜单渲染父节点。默认渲染到</t>
    </r>
    <r>
      <rPr>
        <sz val="11"/>
        <color rgb="FF314659"/>
        <rFont val="Segoe UI"/>
        <charset val="134"/>
      </rPr>
      <t xml:space="preserve"> body </t>
    </r>
    <r>
      <rPr>
        <sz val="11"/>
        <color rgb="FF314659"/>
        <rFont val="宋体"/>
        <charset val="134"/>
      </rPr>
      <t>上，如果你遇到菜单滚动定位问题，试试修改为滚动的区域，并相对其定位。示例</t>
    </r>
  </si>
  <si>
    <t>Function(triggerNode)</t>
  </si>
  <si>
    <t>() =&gt; document.body</t>
  </si>
  <si>
    <t>labelInValue</t>
  </si>
  <si>
    <r>
      <t>是否把每个选项的</t>
    </r>
    <r>
      <rPr>
        <sz val="11"/>
        <color rgb="FF314659"/>
        <rFont val="Segoe UI"/>
        <charset val="134"/>
      </rPr>
      <t xml:space="preserve"> label </t>
    </r>
    <r>
      <rPr>
        <sz val="11"/>
        <color rgb="FF314659"/>
        <rFont val="宋体"/>
        <charset val="134"/>
      </rPr>
      <t>包装到</t>
    </r>
    <r>
      <rPr>
        <sz val="11"/>
        <color rgb="FF314659"/>
        <rFont val="Segoe UI"/>
        <charset val="134"/>
      </rPr>
      <t xml:space="preserve"> value </t>
    </r>
    <r>
      <rPr>
        <sz val="11"/>
        <color rgb="FF314659"/>
        <rFont val="宋体"/>
        <charset val="134"/>
      </rPr>
      <t>中，会把</t>
    </r>
    <r>
      <rPr>
        <sz val="11"/>
        <color rgb="FF314659"/>
        <rFont val="Segoe UI"/>
        <charset val="134"/>
      </rPr>
      <t xml:space="preserve"> Select </t>
    </r>
    <r>
      <rPr>
        <sz val="11"/>
        <color rgb="FF314659"/>
        <rFont val="宋体"/>
        <charset val="134"/>
      </rPr>
      <t>的</t>
    </r>
    <r>
      <rPr>
        <sz val="11"/>
        <color rgb="FF314659"/>
        <rFont val="Segoe UI"/>
        <charset val="134"/>
      </rPr>
      <t xml:space="preserve"> value </t>
    </r>
    <r>
      <rPr>
        <sz val="11"/>
        <color rgb="FF314659"/>
        <rFont val="宋体"/>
        <charset val="134"/>
      </rPr>
      <t>类型从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string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宋体"/>
        <charset val="134"/>
      </rPr>
      <t>变为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{key: string, label: ReactNode}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宋体"/>
        <charset val="134"/>
      </rPr>
      <t>的格式</t>
    </r>
  </si>
  <si>
    <t>maxTagCount</t>
  </si>
  <si>
    <r>
      <t>最多显示多少个</t>
    </r>
    <r>
      <rPr>
        <sz val="11"/>
        <color rgb="FF314659"/>
        <rFont val="Segoe UI"/>
        <charset val="134"/>
      </rPr>
      <t xml:space="preserve"> tag</t>
    </r>
  </si>
  <si>
    <t>maxTagPlaceholder</t>
  </si>
  <si>
    <r>
      <t>隐藏</t>
    </r>
    <r>
      <rPr>
        <sz val="11"/>
        <color rgb="FF314659"/>
        <rFont val="Segoe UI"/>
        <charset val="134"/>
      </rPr>
      <t xml:space="preserve"> tag </t>
    </r>
    <r>
      <rPr>
        <sz val="11"/>
        <color rgb="FF314659"/>
        <rFont val="宋体"/>
        <charset val="134"/>
      </rPr>
      <t>时显示的内容</t>
    </r>
  </si>
  <si>
    <t>ReactNode/function(omittedValues)</t>
  </si>
  <si>
    <t>mode</t>
  </si>
  <si>
    <r>
      <t>设置</t>
    </r>
    <r>
      <rPr>
        <sz val="11"/>
        <color rgb="FF314659"/>
        <rFont val="Segoe UI"/>
        <charset val="134"/>
      </rPr>
      <t xml:space="preserve"> Select </t>
    </r>
    <r>
      <rPr>
        <sz val="11"/>
        <color rgb="FF314659"/>
        <rFont val="宋体"/>
        <charset val="134"/>
      </rPr>
      <t>的模式（</t>
    </r>
    <r>
      <rPr>
        <sz val="11"/>
        <color rgb="FF314659"/>
        <rFont val="Segoe UI"/>
        <charset val="134"/>
      </rPr>
      <t xml:space="preserve">2.9 </t>
    </r>
    <r>
      <rPr>
        <sz val="11"/>
        <color rgb="FF314659"/>
        <rFont val="宋体"/>
        <charset val="134"/>
      </rPr>
      <t>之后支持）</t>
    </r>
  </si>
  <si>
    <t>'multiple' | 'tags' | 'combobox'</t>
  </si>
  <si>
    <t>multiple</t>
  </si>
  <si>
    <r>
      <t>支持多选（</t>
    </r>
    <r>
      <rPr>
        <sz val="11"/>
        <color rgb="FF314659"/>
        <rFont val="Segoe UI"/>
        <charset val="134"/>
      </rPr>
      <t xml:space="preserve">2.9 </t>
    </r>
    <r>
      <rPr>
        <sz val="11"/>
        <color rgb="FF314659"/>
        <rFont val="宋体"/>
        <charset val="134"/>
      </rPr>
      <t>之后废弃，请使用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mode</t>
    </r>
    <r>
      <rPr>
        <sz val="11"/>
        <color rgb="FF314659"/>
        <rFont val="宋体"/>
        <charset val="134"/>
      </rPr>
      <t>）</t>
    </r>
  </si>
  <si>
    <t>notFoundContent</t>
  </si>
  <si>
    <t>当下拉列表为空时显示的内容</t>
  </si>
  <si>
    <t>'Not Found'</t>
  </si>
  <si>
    <t>optionFilterProp</t>
  </si>
  <si>
    <r>
      <t>搜索时过滤对应的</t>
    </r>
    <r>
      <rPr>
        <sz val="11"/>
        <color rgb="FF314659"/>
        <rFont val="Segoe UI"/>
        <charset val="134"/>
      </rPr>
      <t xml:space="preserve"> option </t>
    </r>
    <r>
      <rPr>
        <sz val="11"/>
        <color rgb="FF314659"/>
        <rFont val="宋体"/>
        <charset val="134"/>
      </rPr>
      <t>属性，如设置为</t>
    </r>
    <r>
      <rPr>
        <sz val="11"/>
        <color rgb="FF314659"/>
        <rFont val="Segoe UI"/>
        <charset val="134"/>
      </rPr>
      <t xml:space="preserve"> children </t>
    </r>
    <r>
      <rPr>
        <sz val="11"/>
        <color rgb="FF314659"/>
        <rFont val="宋体"/>
        <charset val="134"/>
      </rPr>
      <t>表示对内嵌内容进行搜索</t>
    </r>
  </si>
  <si>
    <t>optionLabelProp</t>
  </si>
  <si>
    <r>
      <t>回填到选择框的</t>
    </r>
    <r>
      <rPr>
        <sz val="11"/>
        <color rgb="FF314659"/>
        <rFont val="Segoe UI"/>
        <charset val="134"/>
      </rPr>
      <t xml:space="preserve"> Option </t>
    </r>
    <r>
      <rPr>
        <sz val="11"/>
        <color rgb="FF314659"/>
        <rFont val="宋体"/>
        <charset val="134"/>
      </rPr>
      <t>的属性值，默认是</t>
    </r>
    <r>
      <rPr>
        <sz val="11"/>
        <color rgb="FF314659"/>
        <rFont val="Segoe UI"/>
        <charset val="134"/>
      </rPr>
      <t xml:space="preserve"> Option </t>
    </r>
    <r>
      <rPr>
        <sz val="11"/>
        <color rgb="FF314659"/>
        <rFont val="宋体"/>
        <charset val="134"/>
      </rPr>
      <t>的子元素。比如在子元素需要高亮效果时，此值可以设为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value</t>
    </r>
    <r>
      <rPr>
        <sz val="11"/>
        <color rgb="FF314659"/>
        <rFont val="宋体"/>
        <charset val="134"/>
      </rPr>
      <t>。</t>
    </r>
  </si>
  <si>
    <r>
      <rPr>
        <sz val="10.8"/>
        <color rgb="FF314659"/>
        <rFont val="Consolas"/>
        <charset val="134"/>
      </rPr>
      <t>children</t>
    </r>
    <r>
      <rPr>
        <sz val="9"/>
        <color rgb="FF314659"/>
        <rFont val="Lucida Console"/>
        <charset val="134"/>
      </rPr>
      <t>（combobox 模式下为 </t>
    </r>
    <r>
      <rPr>
        <sz val="10.8"/>
        <color rgb="FF314659"/>
        <rFont val="Consolas"/>
        <charset val="134"/>
      </rPr>
      <t>value</t>
    </r>
    <r>
      <rPr>
        <sz val="9"/>
        <color rgb="FF314659"/>
        <rFont val="Lucida Console"/>
        <charset val="134"/>
      </rPr>
      <t>）</t>
    </r>
  </si>
  <si>
    <t>placeholder</t>
  </si>
  <si>
    <t>选择框默认文字</t>
  </si>
  <si>
    <t>showSearch</t>
  </si>
  <si>
    <t>使单选模式可搜索</t>
  </si>
  <si>
    <t>showArrow</t>
  </si>
  <si>
    <r>
      <t xml:space="preserve">是否显示下拉小箭头 </t>
    </r>
    <r>
      <rPr>
        <sz val="11"/>
        <color rgb="FF314659"/>
        <rFont val="Segoe UI"/>
        <charset val="134"/>
      </rPr>
      <t xml:space="preserve"> [{false}]</t>
    </r>
  </si>
  <si>
    <r>
      <t>选择框大小，可选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large</t>
    </r>
    <r>
      <rPr>
        <sz val="11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small ['large']</t>
    </r>
  </si>
  <si>
    <t>tags</t>
  </si>
  <si>
    <r>
      <t>可以把随意输入的条目作为</t>
    </r>
    <r>
      <rPr>
        <sz val="11"/>
        <color rgb="FF314659"/>
        <rFont val="Segoe UI"/>
        <charset val="134"/>
      </rPr>
      <t xml:space="preserve"> tag</t>
    </r>
    <r>
      <rPr>
        <sz val="11"/>
        <color rgb="FF314659"/>
        <rFont val="宋体"/>
        <charset val="134"/>
      </rPr>
      <t>，输入项不需要与下拉选项匹配（</t>
    </r>
    <r>
      <rPr>
        <sz val="11"/>
        <color rgb="FFFF0000"/>
        <rFont val="Segoe UI"/>
        <charset val="134"/>
      </rPr>
      <t xml:space="preserve">2.9 </t>
    </r>
    <r>
      <rPr>
        <sz val="11"/>
        <color rgb="FFFF0000"/>
        <rFont val="宋体"/>
        <charset val="134"/>
      </rPr>
      <t>之后废弃，请使用</t>
    </r>
    <r>
      <rPr>
        <sz val="11"/>
        <color rgb="FFFF0000"/>
        <rFont val="Segoe UI"/>
        <charset val="134"/>
      </rPr>
      <t> </t>
    </r>
    <r>
      <rPr>
        <sz val="11"/>
        <color rgb="FFFF0000"/>
        <rFont val="Consolas"/>
        <charset val="134"/>
      </rPr>
      <t>mode</t>
    </r>
    <r>
      <rPr>
        <sz val="11"/>
        <color rgb="FF314659"/>
        <rFont val="宋体"/>
        <charset val="134"/>
      </rPr>
      <t>）</t>
    </r>
  </si>
  <si>
    <t>tokenSeparators</t>
  </si>
  <si>
    <r>
      <t>在</t>
    </r>
    <r>
      <rPr>
        <sz val="11"/>
        <color rgb="FF314659"/>
        <rFont val="Segoe UI"/>
        <charset val="134"/>
      </rPr>
      <t xml:space="preserve"> tags </t>
    </r>
    <r>
      <rPr>
        <sz val="11"/>
        <color rgb="FF314659"/>
        <rFont val="宋体"/>
        <charset val="134"/>
      </rPr>
      <t>和</t>
    </r>
    <r>
      <rPr>
        <sz val="11"/>
        <color rgb="FF314659"/>
        <rFont val="Segoe UI"/>
        <charset val="134"/>
      </rPr>
      <t xml:space="preserve"> multiple </t>
    </r>
    <r>
      <rPr>
        <sz val="11"/>
        <color rgb="FF314659"/>
        <rFont val="宋体"/>
        <charset val="134"/>
      </rPr>
      <t>模式下自动分词的分隔符</t>
    </r>
  </si>
  <si>
    <t>string[]</t>
  </si>
  <si>
    <t>指定当前选中的条目</t>
  </si>
  <si>
    <t>onBlur</t>
  </si>
  <si>
    <t>失去焦点的时回调</t>
  </si>
  <si>
    <t>function</t>
  </si>
  <si>
    <t>onChange</t>
  </si>
  <si>
    <r>
      <t>选中</t>
    </r>
    <r>
      <rPr>
        <sz val="11"/>
        <color rgb="FF314659"/>
        <rFont val="Segoe UI"/>
        <charset val="134"/>
      </rPr>
      <t xml:space="preserve"> option</t>
    </r>
    <r>
      <rPr>
        <sz val="11"/>
        <color rgb="FF314659"/>
        <rFont val="宋体"/>
        <charset val="134"/>
      </rPr>
      <t>，或</t>
    </r>
    <r>
      <rPr>
        <sz val="11"/>
        <color rgb="FF314659"/>
        <rFont val="Segoe UI"/>
        <charset val="134"/>
      </rPr>
      <t xml:space="preserve"> input </t>
    </r>
    <r>
      <rPr>
        <sz val="11"/>
        <color rgb="FF314659"/>
        <rFont val="宋体"/>
        <charset val="134"/>
      </rPr>
      <t>的</t>
    </r>
    <r>
      <rPr>
        <sz val="11"/>
        <color rgb="FF314659"/>
        <rFont val="Segoe UI"/>
        <charset val="134"/>
      </rPr>
      <t xml:space="preserve"> value </t>
    </r>
    <r>
      <rPr>
        <sz val="11"/>
        <color rgb="FF314659"/>
        <rFont val="宋体"/>
        <charset val="134"/>
      </rPr>
      <t>变化（</t>
    </r>
    <r>
      <rPr>
        <sz val="11"/>
        <color rgb="FF314659"/>
        <rFont val="Segoe UI"/>
        <charset val="134"/>
      </rPr>
      <t xml:space="preserve">combobox </t>
    </r>
    <r>
      <rPr>
        <sz val="11"/>
        <color rgb="FF314659"/>
        <rFont val="宋体"/>
        <charset val="134"/>
      </rPr>
      <t>模式下）时，调用此函数</t>
    </r>
  </si>
  <si>
    <t>function(value, option:Option/Array&lt;Option&gt;)</t>
  </si>
  <si>
    <t>onDeselect</t>
  </si>
  <si>
    <r>
      <t>取消选中时调用，参数为选中项的</t>
    </r>
    <r>
      <rPr>
        <sz val="11"/>
        <color rgb="FF314659"/>
        <rFont val="Segoe UI"/>
        <charset val="134"/>
      </rPr>
      <t xml:space="preserve"> value (</t>
    </r>
    <r>
      <rPr>
        <sz val="11"/>
        <color rgb="FF314659"/>
        <rFont val="宋体"/>
        <charset val="134"/>
      </rPr>
      <t>或</t>
    </r>
    <r>
      <rPr>
        <sz val="11"/>
        <color rgb="FF314659"/>
        <rFont val="Segoe UI"/>
        <charset val="134"/>
      </rPr>
      <t xml:space="preserve"> key) </t>
    </r>
    <r>
      <rPr>
        <sz val="11"/>
        <color rgb="FF314659"/>
        <rFont val="宋体"/>
        <charset val="134"/>
      </rPr>
      <t>值，仅在</t>
    </r>
    <r>
      <rPr>
        <sz val="11"/>
        <color rgb="FF314659"/>
        <rFont val="Segoe UI"/>
        <charset val="134"/>
      </rPr>
      <t xml:space="preserve"> multiple </t>
    </r>
    <r>
      <rPr>
        <sz val="11"/>
        <color rgb="FF314659"/>
        <rFont val="宋体"/>
        <charset val="134"/>
      </rPr>
      <t>或</t>
    </r>
    <r>
      <rPr>
        <sz val="11"/>
        <color rgb="FF314659"/>
        <rFont val="Segoe UI"/>
        <charset val="134"/>
      </rPr>
      <t xml:space="preserve"> tags </t>
    </r>
    <r>
      <rPr>
        <sz val="11"/>
        <color rgb="FF314659"/>
        <rFont val="宋体"/>
        <charset val="134"/>
      </rPr>
      <t>模式下生效</t>
    </r>
  </si>
  <si>
    <t>function(value，option:Option)</t>
  </si>
  <si>
    <t>onFocus</t>
  </si>
  <si>
    <t>获得焦点时回调</t>
  </si>
  <si>
    <t>onMouseEnter</t>
  </si>
  <si>
    <t>鼠标移入时回调</t>
  </si>
  <si>
    <t>onMouseLeave</t>
  </si>
  <si>
    <t>鼠标移出时回调</t>
  </si>
  <si>
    <t>onPopupScroll</t>
  </si>
  <si>
    <t>下拉列表滚动时的回调</t>
  </si>
  <si>
    <t>onSearch</t>
  </si>
  <si>
    <t>文本框值变化时回调</t>
  </si>
  <si>
    <t>function(value: string)</t>
  </si>
  <si>
    <t>onSelect</t>
  </si>
  <si>
    <r>
      <t>被选中时调用，参数为选中项的</t>
    </r>
    <r>
      <rPr>
        <sz val="11"/>
        <color rgb="FF314659"/>
        <rFont val="Segoe UI"/>
        <charset val="134"/>
      </rPr>
      <t xml:space="preserve"> value (</t>
    </r>
    <r>
      <rPr>
        <sz val="11"/>
        <color rgb="FF314659"/>
        <rFont val="宋体"/>
        <charset val="134"/>
      </rPr>
      <t>或</t>
    </r>
    <r>
      <rPr>
        <sz val="11"/>
        <color rgb="FF314659"/>
        <rFont val="Segoe UI"/>
        <charset val="134"/>
      </rPr>
      <t xml:space="preserve"> key) </t>
    </r>
    <r>
      <rPr>
        <sz val="11"/>
        <color rgb="FF314659"/>
        <rFont val="宋体"/>
        <charset val="134"/>
      </rPr>
      <t>值</t>
    </r>
  </si>
  <si>
    <t>function(value, option:Option)</t>
  </si>
  <si>
    <r>
      <rPr>
        <sz val="9.45"/>
        <color rgb="FF697B8C"/>
        <rFont val="Segoe UI"/>
        <charset val="134"/>
      </rPr>
      <t>注意，如果发现下拉菜单跟随页面滚动，或者需要在其他弹层中触发 Select，请尝试使用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getPopupContainer={triggerNode =&gt; triggerNode.parentNode}</t>
    </r>
    <r>
      <rPr>
        <sz val="9.45"/>
        <color rgb="FF697B8C"/>
        <rFont val="Segoe UI"/>
        <charset val="134"/>
      </rPr>
      <t> </t>
    </r>
    <r>
      <rPr>
        <sz val="9.45"/>
        <color rgb="FF697B8C"/>
        <rFont val="Segoe UI"/>
        <charset val="134"/>
      </rPr>
      <t>将下拉弹层渲染节点固定在触发器的父元素中。</t>
    </r>
  </si>
  <si>
    <t>Select Methods#</t>
  </si>
  <si>
    <t>名称</t>
  </si>
  <si>
    <t>blur()</t>
  </si>
  <si>
    <t>取消焦点</t>
  </si>
  <si>
    <t>focus()</t>
  </si>
  <si>
    <t>获取焦点</t>
  </si>
  <si>
    <t>Option props#</t>
  </si>
  <si>
    <t>key</t>
  </si>
  <si>
    <r>
      <t>和</t>
    </r>
    <r>
      <rPr>
        <sz val="11"/>
        <color rgb="FF314659"/>
        <rFont val="Segoe UI"/>
        <charset val="134"/>
      </rPr>
      <t xml:space="preserve"> value </t>
    </r>
    <r>
      <rPr>
        <sz val="11"/>
        <color rgb="FF314659"/>
        <rFont val="宋体"/>
        <charset val="134"/>
      </rPr>
      <t>含义一致。如果</t>
    </r>
    <r>
      <rPr>
        <sz val="11"/>
        <color rgb="FF314659"/>
        <rFont val="Segoe UI"/>
        <charset val="134"/>
      </rPr>
      <t xml:space="preserve"> React </t>
    </r>
    <r>
      <rPr>
        <sz val="11"/>
        <color rgb="FF314659"/>
        <rFont val="宋体"/>
        <charset val="134"/>
      </rPr>
      <t>需要你设置此项，此项值与</t>
    </r>
    <r>
      <rPr>
        <sz val="11"/>
        <color rgb="FF314659"/>
        <rFont val="Segoe UI"/>
        <charset val="134"/>
      </rPr>
      <t xml:space="preserve"> value </t>
    </r>
    <r>
      <rPr>
        <sz val="11"/>
        <color rgb="FF314659"/>
        <rFont val="宋体"/>
        <charset val="134"/>
      </rPr>
      <t>的值相同，然后可以省略</t>
    </r>
    <r>
      <rPr>
        <sz val="11"/>
        <color rgb="FF314659"/>
        <rFont val="Segoe UI"/>
        <charset val="134"/>
      </rPr>
      <t xml:space="preserve"> value </t>
    </r>
    <r>
      <rPr>
        <sz val="11"/>
        <color rgb="FF314659"/>
        <rFont val="宋体"/>
        <charset val="134"/>
      </rPr>
      <t>设置</t>
    </r>
  </si>
  <si>
    <t>title</t>
  </si>
  <si>
    <r>
      <t>选中该</t>
    </r>
    <r>
      <rPr>
        <sz val="11"/>
        <color rgb="FF314659"/>
        <rFont val="Segoe UI"/>
        <charset val="134"/>
      </rPr>
      <t xml:space="preserve"> Option </t>
    </r>
    <r>
      <rPr>
        <sz val="11"/>
        <color rgb="FF314659"/>
        <rFont val="宋体"/>
        <charset val="134"/>
      </rPr>
      <t>后，</t>
    </r>
    <r>
      <rPr>
        <sz val="11"/>
        <color rgb="FF314659"/>
        <rFont val="Segoe UI"/>
        <charset val="134"/>
      </rPr>
      <t xml:space="preserve">Select </t>
    </r>
    <r>
      <rPr>
        <sz val="11"/>
        <color rgb="FF314659"/>
        <rFont val="宋体"/>
        <charset val="134"/>
      </rPr>
      <t>的</t>
    </r>
    <r>
      <rPr>
        <sz val="11"/>
        <color rgb="FF314659"/>
        <rFont val="Segoe UI"/>
        <charset val="134"/>
      </rPr>
      <t xml:space="preserve"> title</t>
    </r>
  </si>
  <si>
    <t>默认根据此属性值进行筛选</t>
  </si>
  <si>
    <t>string|number</t>
  </si>
  <si>
    <t>OptGroup props#</t>
  </si>
  <si>
    <t>(这个节点是干嘛)</t>
  </si>
  <si>
    <t>组名</t>
  </si>
  <si>
    <t>string|React.Element</t>
  </si>
  <si>
    <t>无</t>
  </si>
  <si>
    <t>InputNumber</t>
  </si>
  <si>
    <t>成员</t>
  </si>
  <si>
    <t>自动获取焦点</t>
  </si>
  <si>
    <t>初始值</t>
  </si>
  <si>
    <t>禁用</t>
  </si>
  <si>
    <t>formatter</t>
  </si>
  <si>
    <t>指定输入框展示值的格式</t>
  </si>
  <si>
    <t>function(value: number | string): string</t>
  </si>
  <si>
    <t>最大值</t>
  </si>
  <si>
    <t>Infinity</t>
  </si>
  <si>
    <t>最小值</t>
  </si>
  <si>
    <t>-Infinity</t>
  </si>
  <si>
    <t>parser</t>
  </si>
  <si>
    <t>指定从 formatter 里转换回数字的方式，和 formatter 搭配使用</t>
  </si>
  <si>
    <t>function( string): number</t>
  </si>
  <si>
    <t>precision</t>
  </si>
  <si>
    <t>数值精度</t>
  </si>
  <si>
    <t>输入框大小</t>
  </si>
  <si>
    <t>step</t>
  </si>
  <si>
    <t>每次改变步数，可以为小数</t>
  </si>
  <si>
    <t>number|string</t>
  </si>
  <si>
    <t>当前值</t>
  </si>
  <si>
    <t>变化回调</t>
  </si>
  <si>
    <t>Function(value: number | string)</t>
  </si>
  <si>
    <t>方法#</t>
  </si>
  <si>
    <t>描述</t>
  </si>
  <si>
    <t>移除焦点</t>
  </si>
  <si>
    <t>Switch</t>
  </si>
  <si>
    <t>组件自动获取焦点</t>
  </si>
  <si>
    <t>checked</t>
  </si>
  <si>
    <t>指定当前是否选中</t>
  </si>
  <si>
    <t>checkedChildren</t>
  </si>
  <si>
    <t>选中时的内容</t>
  </si>
  <si>
    <t>defaultChecked</t>
  </si>
  <si>
    <t>初始是否选中</t>
  </si>
  <si>
    <t>loading</t>
  </si>
  <si>
    <t>加载中的开关</t>
  </si>
  <si>
    <r>
      <rPr>
        <sz val="10.5"/>
        <color rgb="FF314659"/>
        <rFont val="Segoe UI"/>
        <charset val="134"/>
      </rPr>
      <t>开关大小，可选值：</t>
    </r>
    <r>
      <rPr>
        <sz val="10.8"/>
        <color rgb="FF314659"/>
        <rFont val="Consolas"/>
        <charset val="134"/>
      </rPr>
      <t>default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small</t>
    </r>
  </si>
  <si>
    <t>unCheckedChildren</t>
  </si>
  <si>
    <t>非选中时的内容</t>
  </si>
  <si>
    <t>变化时回调函数</t>
  </si>
  <si>
    <t>Function(checked:Boolean)</t>
  </si>
  <si>
    <t>Radio</t>
  </si>
  <si>
    <t>Radio#</t>
  </si>
  <si>
    <t>根据 value 进行比较，判断是否选中</t>
  </si>
  <si>
    <t>any</t>
  </si>
  <si>
    <t>RadioGroup#</t>
  </si>
  <si>
    <r>
      <rPr>
        <sz val="10.5"/>
        <color rgb="FF314659"/>
        <rFont val="Segoe UI"/>
        <charset val="134"/>
      </rPr>
      <t>单选框组合，用于包裹一组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Radio</t>
    </r>
    <r>
      <rPr>
        <sz val="10.5"/>
        <color rgb="FF314659"/>
        <rFont val="Segoe UI"/>
        <charset val="134"/>
      </rPr>
      <t>。</t>
    </r>
  </si>
  <si>
    <t>默认选中的值</t>
  </si>
  <si>
    <r>
      <rPr>
        <sz val="10.5"/>
        <color rgb="FF314659"/>
        <rFont val="Segoe UI"/>
        <charset val="134"/>
      </rPr>
      <t>RadioGroup 下所有 </t>
    </r>
    <r>
      <rPr>
        <sz val="10.8"/>
        <color rgb="FF314659"/>
        <rFont val="Consolas"/>
        <charset val="134"/>
      </rPr>
      <t>input[type="radio"]</t>
    </r>
    <r>
      <rPr>
        <sz val="10.5"/>
        <color rgb="FF314659"/>
        <rFont val="Segoe UI"/>
        <charset val="134"/>
      </rPr>
      <t> 的 </t>
    </r>
    <r>
      <rPr>
        <sz val="10.8"/>
        <color rgb="FF314659"/>
        <rFont val="Consolas"/>
        <charset val="134"/>
      </rPr>
      <t>name</t>
    </r>
    <r>
      <rPr>
        <sz val="10.5"/>
        <color rgb="FF314659"/>
        <rFont val="Segoe UI"/>
        <charset val="134"/>
      </rPr>
      <t> 属性</t>
    </r>
  </si>
  <si>
    <t>options</t>
  </si>
  <si>
    <t>以配置形式设置子元素</t>
  </si>
  <si>
    <t>string[] | Array&lt;{ label: string value: string disabled?: boolean }&gt;</t>
  </si>
  <si>
    <t>大小，只对按钮样式生效</t>
  </si>
  <si>
    <r>
      <rPr>
        <sz val="10.8"/>
        <color rgb="FF314659"/>
        <rFont val="Consolas"/>
        <charset val="134"/>
      </rPr>
      <t>large</t>
    </r>
    <r>
      <rPr>
        <sz val="9"/>
        <color rgb="FF314659"/>
        <rFont val="Lucida Console"/>
        <charset val="134"/>
      </rPr>
      <t> | </t>
    </r>
    <r>
      <rPr>
        <sz val="10.8"/>
        <color rgb="FF314659"/>
        <rFont val="Consolas"/>
        <charset val="134"/>
      </rPr>
      <t>default</t>
    </r>
    <r>
      <rPr>
        <sz val="9"/>
        <color rgb="FF314659"/>
        <rFont val="Lucida Console"/>
        <charset val="134"/>
      </rPr>
      <t>| </t>
    </r>
    <r>
      <rPr>
        <sz val="10.8"/>
        <color rgb="FF314659"/>
        <rFont val="Consolas"/>
        <charset val="134"/>
      </rPr>
      <t>small</t>
    </r>
  </si>
  <si>
    <t>用于设置当前选中的值</t>
  </si>
  <si>
    <t>选项变化时的回调函数</t>
  </si>
  <si>
    <t>Slider</t>
  </si>
  <si>
    <t>API#</t>
  </si>
  <si>
    <t>支持清除, 单选模式有效</t>
  </si>
  <si>
    <r>
      <rPr>
        <sz val="10.5"/>
        <color rgb="FF314659"/>
        <rFont val="Segoe UI"/>
        <charset val="134"/>
      </rPr>
      <t>设置初始取值。当 </t>
    </r>
    <r>
      <rPr>
        <sz val="10.8"/>
        <color rgb="FF314659"/>
        <rFont val="Consolas"/>
        <charset val="134"/>
      </rPr>
      <t>range</t>
    </r>
    <r>
      <rPr>
        <sz val="10.5"/>
        <color rgb="FF314659"/>
        <rFont val="Segoe UI"/>
        <charset val="134"/>
      </rPr>
      <t> 为 </t>
    </r>
    <r>
      <rPr>
        <sz val="10.8"/>
        <color rgb="FF314659"/>
        <rFont val="Consolas"/>
        <charset val="134"/>
      </rPr>
      <t>false</t>
    </r>
    <r>
      <rPr>
        <sz val="10.5"/>
        <color rgb="FF314659"/>
        <rFont val="Segoe UI"/>
        <charset val="134"/>
      </rPr>
      <t> 时，使用 </t>
    </r>
    <r>
      <rPr>
        <sz val="10.8"/>
        <color rgb="FF314659"/>
        <rFont val="Consolas"/>
        <charset val="134"/>
      </rPr>
      <t>number</t>
    </r>
    <r>
      <rPr>
        <sz val="10.5"/>
        <color rgb="FF314659"/>
        <rFont val="Segoe UI"/>
        <charset val="134"/>
      </rPr>
      <t>，否则用 </t>
    </r>
    <r>
      <rPr>
        <sz val="10.8"/>
        <color rgb="FF314659"/>
        <rFont val="Consolas"/>
        <charset val="134"/>
      </rPr>
      <t>[number, number]</t>
    </r>
  </si>
  <si>
    <t>number|number[]</t>
  </si>
  <si>
    <t>0 or 0, 0</t>
  </si>
  <si>
    <r>
      <rPr>
        <sz val="10.5"/>
        <color rgb="FF314659"/>
        <rFont val="Segoe UI"/>
        <charset val="134"/>
      </rPr>
      <t>值为 </t>
    </r>
    <r>
      <rPr>
        <sz val="10.8"/>
        <color rgb="FF314659"/>
        <rFont val="Consolas"/>
        <charset val="134"/>
      </rPr>
      <t>true</t>
    </r>
    <r>
      <rPr>
        <sz val="10.5"/>
        <color rgb="FF314659"/>
        <rFont val="Segoe UI"/>
        <charset val="134"/>
      </rPr>
      <t> 时，滑块为禁用状态</t>
    </r>
  </si>
  <si>
    <t>dots</t>
  </si>
  <si>
    <t>是否只能拖拽到刻度上</t>
  </si>
  <si>
    <t>included</t>
  </si>
  <si>
    <r>
      <rPr>
        <sz val="10.8"/>
        <color rgb="FF314659"/>
        <rFont val="Consolas"/>
        <charset val="134"/>
      </rPr>
      <t>marks</t>
    </r>
    <r>
      <rPr>
        <sz val="10.5"/>
        <color rgb="FF314659"/>
        <rFont val="Segoe UI"/>
        <charset val="134"/>
      </rPr>
      <t> 不为空对象时有效，值为 true 时表示值为包含关系，false 表示并列</t>
    </r>
  </si>
  <si>
    <t>marks</t>
  </si>
  <si>
    <r>
      <rPr>
        <sz val="10.5"/>
        <color rgb="FF314659"/>
        <rFont val="Segoe UI"/>
        <charset val="134"/>
      </rPr>
      <t>刻度标记，key 的类型必须为 </t>
    </r>
    <r>
      <rPr>
        <sz val="10.8"/>
        <color rgb="FF314659"/>
        <rFont val="Consolas"/>
        <charset val="134"/>
      </rPr>
      <t>number</t>
    </r>
    <r>
      <rPr>
        <sz val="10.5"/>
        <color rgb="FF314659"/>
        <rFont val="Segoe UI"/>
        <charset val="134"/>
      </rPr>
      <t> 且取值在闭区间 min, max 内，每个标签可以单独设置样式</t>
    </r>
  </si>
  <si>
    <t>{ number: string|ReactNode } or { number: { style: object, label: string|ReactNode } }</t>
  </si>
  <si>
    <t>range</t>
  </si>
  <si>
    <t>双滑块模式</t>
  </si>
  <si>
    <r>
      <rPr>
        <sz val="10.5"/>
        <color rgb="FF314659"/>
        <rFont val="Segoe UI"/>
        <charset val="134"/>
      </rPr>
      <t>步长，取值必须大于 0，并且可被 (max - min) 整除。当 </t>
    </r>
    <r>
      <rPr>
        <sz val="10.8"/>
        <color rgb="FF314659"/>
        <rFont val="Consolas"/>
        <charset val="134"/>
      </rPr>
      <t>marks</t>
    </r>
    <r>
      <rPr>
        <sz val="10.5"/>
        <color rgb="FF314659"/>
        <rFont val="Segoe UI"/>
        <charset val="134"/>
      </rPr>
      <t> 不为空对象时，可以设置 </t>
    </r>
    <r>
      <rPr>
        <sz val="10.8"/>
        <color rgb="FF314659"/>
        <rFont val="Consolas"/>
        <charset val="134"/>
      </rPr>
      <t>step</t>
    </r>
    <r>
      <rPr>
        <sz val="10.5"/>
        <color rgb="FF314659"/>
        <rFont val="Segoe UI"/>
        <charset val="134"/>
      </rPr>
      <t> 为 </t>
    </r>
    <r>
      <rPr>
        <sz val="10.8"/>
        <color rgb="FF314659"/>
        <rFont val="Consolas"/>
        <charset val="134"/>
      </rPr>
      <t>null</t>
    </r>
    <r>
      <rPr>
        <sz val="10.5"/>
        <color rgb="FF314659"/>
        <rFont val="Segoe UI"/>
        <charset val="134"/>
      </rPr>
      <t>，此时 Slider 的可选值仅有 marks 标出来的部分。</t>
    </r>
  </si>
  <si>
    <t>number|null</t>
  </si>
  <si>
    <t>tipFormatter</t>
  </si>
  <si>
    <r>
      <rPr>
        <sz val="10.5"/>
        <color rgb="FF314659"/>
        <rFont val="Segoe UI"/>
        <charset val="134"/>
      </rPr>
      <t>Slider 会把当前值传给 </t>
    </r>
    <r>
      <rPr>
        <sz val="10.8"/>
        <color rgb="FF314659"/>
        <rFont val="Consolas"/>
        <charset val="134"/>
      </rPr>
      <t>tipFormatter</t>
    </r>
    <r>
      <rPr>
        <sz val="10.5"/>
        <color rgb="FF314659"/>
        <rFont val="Segoe UI"/>
        <charset val="134"/>
      </rPr>
      <t>，并在 Tooltip 中显示 </t>
    </r>
    <r>
      <rPr>
        <sz val="10.8"/>
        <color rgb="FF314659"/>
        <rFont val="Consolas"/>
        <charset val="134"/>
      </rPr>
      <t>tipFormatter</t>
    </r>
    <r>
      <rPr>
        <sz val="10.5"/>
        <color rgb="FF314659"/>
        <rFont val="Segoe UI"/>
        <charset val="134"/>
      </rPr>
      <t> 的返回值，若为 null，则隐藏 Tooltip。</t>
    </r>
  </si>
  <si>
    <t>Function|null</t>
  </si>
  <si>
    <t>IDENTITY</t>
  </si>
  <si>
    <r>
      <rPr>
        <sz val="10.5"/>
        <color rgb="FF314659"/>
        <rFont val="Segoe UI"/>
        <charset val="134"/>
      </rPr>
      <t>设置当前取值。当 </t>
    </r>
    <r>
      <rPr>
        <sz val="10.8"/>
        <color rgb="FF314659"/>
        <rFont val="Consolas"/>
        <charset val="134"/>
      </rPr>
      <t>range</t>
    </r>
    <r>
      <rPr>
        <sz val="10.5"/>
        <color rgb="FF314659"/>
        <rFont val="Segoe UI"/>
        <charset val="134"/>
      </rPr>
      <t> 为 </t>
    </r>
    <r>
      <rPr>
        <sz val="10.8"/>
        <color rgb="FF314659"/>
        <rFont val="Consolas"/>
        <charset val="134"/>
      </rPr>
      <t>false</t>
    </r>
    <r>
      <rPr>
        <sz val="10.5"/>
        <color rgb="FF314659"/>
        <rFont val="Segoe UI"/>
        <charset val="134"/>
      </rPr>
      <t> 时，使用 </t>
    </r>
    <r>
      <rPr>
        <sz val="10.8"/>
        <color rgb="FF314659"/>
        <rFont val="Consolas"/>
        <charset val="134"/>
      </rPr>
      <t>number</t>
    </r>
    <r>
      <rPr>
        <sz val="10.5"/>
        <color rgb="FF314659"/>
        <rFont val="Segoe UI"/>
        <charset val="134"/>
      </rPr>
      <t>，否则用 </t>
    </r>
    <r>
      <rPr>
        <sz val="10.8"/>
        <color rgb="FF314659"/>
        <rFont val="Consolas"/>
        <charset val="134"/>
      </rPr>
      <t>[number, number]</t>
    </r>
  </si>
  <si>
    <t>vertical</t>
  </si>
  <si>
    <r>
      <rPr>
        <sz val="10.5"/>
        <color rgb="FF314659"/>
        <rFont val="Segoe UI"/>
        <charset val="134"/>
      </rPr>
      <t>值为 </t>
    </r>
    <r>
      <rPr>
        <sz val="10.8"/>
        <color rgb="FF314659"/>
        <rFont val="Consolas"/>
        <charset val="134"/>
      </rPr>
      <t>true</t>
    </r>
    <r>
      <rPr>
        <sz val="10.5"/>
        <color rgb="FF314659"/>
        <rFont val="Segoe UI"/>
        <charset val="134"/>
      </rPr>
      <t> 时，Slider 为垂直方向</t>
    </r>
  </si>
  <si>
    <t>onAfterChange</t>
  </si>
  <si>
    <r>
      <rPr>
        <sz val="10.5"/>
        <color rgb="FF314659"/>
        <rFont val="Segoe UI"/>
        <charset val="134"/>
      </rPr>
      <t>与 </t>
    </r>
    <r>
      <rPr>
        <sz val="10.8"/>
        <color rgb="FF314659"/>
        <rFont val="Consolas"/>
        <charset val="134"/>
      </rPr>
      <t>onmouseup</t>
    </r>
    <r>
      <rPr>
        <sz val="10.5"/>
        <color rgb="FF314659"/>
        <rFont val="Segoe UI"/>
        <charset val="134"/>
      </rPr>
      <t> 触发时机一致，把当前值作为参数传入。</t>
    </r>
  </si>
  <si>
    <t>Function(value)</t>
  </si>
  <si>
    <t>NOOP</t>
  </si>
  <si>
    <t>当 Slider 的值发生改变时，会触发 onChange 事件，并把改变后的值作为参数传入。</t>
  </si>
  <si>
    <t>[按钮 不能提交数据]</t>
  </si>
  <si>
    <t>Button</t>
  </si>
  <si>
    <t>ghost</t>
  </si>
  <si>
    <t>幽灵属性，使按钮背景透明，版本 2.7 中增加</t>
  </si>
  <si>
    <t>href</t>
  </si>
  <si>
    <t>点击跳转的地址，指定此属性 button 的行为和 a 链接一致</t>
  </si>
  <si>
    <t>htmlType</t>
  </si>
  <si>
    <t>设置 button 原生的 type 值，可选值请参考 HTML 标准</t>
  </si>
  <si>
    <t>button</t>
  </si>
  <si>
    <t>icon</t>
  </si>
  <si>
    <t>设置按钮的图标类型</t>
  </si>
  <si>
    <t>设置按钮载入状态</t>
  </si>
  <si>
    <t>boolean | { delay: number }</t>
  </si>
  <si>
    <t>按钮失效状态</t>
  </si>
  <si>
    <t>shape</t>
  </si>
  <si>
    <r>
      <rPr>
        <sz val="10.5"/>
        <color rgb="FF314659"/>
        <rFont val="Segoe UI"/>
        <charset val="134"/>
      </rPr>
      <t>设置按钮形状，可选值为 </t>
    </r>
    <r>
      <rPr>
        <sz val="10.8"/>
        <color rgb="FF314659"/>
        <rFont val="Consolas"/>
        <charset val="134"/>
      </rPr>
      <t>circle</t>
    </r>
    <r>
      <rPr>
        <sz val="10.5"/>
        <color rgb="FF314659"/>
        <rFont val="Segoe UI"/>
        <charset val="134"/>
      </rPr>
      <t> 或者不设</t>
    </r>
  </si>
  <si>
    <r>
      <rPr>
        <sz val="10.5"/>
        <color rgb="FF314659"/>
        <rFont val="Segoe UI"/>
        <charset val="134"/>
      </rPr>
      <t>设置按钮大小，可选值为 </t>
    </r>
    <r>
      <rPr>
        <sz val="10.8"/>
        <color rgb="FF314659"/>
        <rFont val="Consolas"/>
        <charset val="134"/>
      </rPr>
      <t>small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large</t>
    </r>
    <r>
      <rPr>
        <sz val="10.5"/>
        <color rgb="FF314659"/>
        <rFont val="Segoe UI"/>
        <charset val="134"/>
      </rPr>
      <t> 或者不设</t>
    </r>
  </si>
  <si>
    <t>target</t>
  </si>
  <si>
    <t>相当于 a 链接的 target 属性，href 存在时生效</t>
  </si>
  <si>
    <r>
      <rPr>
        <sz val="10.5"/>
        <color rgb="FF314659"/>
        <rFont val="Segoe UI"/>
        <charset val="134"/>
      </rPr>
      <t>设置按钮类型，可选值为 </t>
    </r>
    <r>
      <rPr>
        <sz val="10.8"/>
        <color rgb="FF314659"/>
        <rFont val="Consolas"/>
        <charset val="134"/>
      </rPr>
      <t>primary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dasheddanger</t>
    </r>
    <r>
      <rPr>
        <sz val="10.5"/>
        <color rgb="FF314659"/>
        <rFont val="Segoe UI"/>
        <charset val="134"/>
      </rPr>
      <t>(版本 2.7 中增加) 或者不设</t>
    </r>
  </si>
  <si>
    <t>onClick</t>
  </si>
  <si>
    <r>
      <rPr>
        <sz val="10.8"/>
        <color rgb="FF314659"/>
        <rFont val="Consolas"/>
        <charset val="134"/>
      </rPr>
      <t>click</t>
    </r>
    <r>
      <rPr>
        <sz val="10.5"/>
        <color rgb="FF314659"/>
        <rFont val="Segoe UI"/>
        <charset val="134"/>
      </rPr>
      <t> 事件的 handler</t>
    </r>
  </si>
  <si>
    <t>Upload</t>
  </si>
  <si>
    <t>action必选</t>
  </si>
  <si>
    <t>accept</t>
  </si>
  <si>
    <t>接受上传的文件类型, 详见 input accept Attribute</t>
  </si>
  <si>
    <t>action</t>
  </si>
  <si>
    <r>
      <t>必选参数</t>
    </r>
    <r>
      <rPr>
        <sz val="10.5"/>
        <color rgb="FFC00000"/>
        <rFont val="Segoe UI"/>
        <charset val="134"/>
      </rPr>
      <t xml:space="preserve">, </t>
    </r>
    <r>
      <rPr>
        <sz val="10.5"/>
        <color rgb="FFC00000"/>
        <rFont val="宋体"/>
        <charset val="134"/>
      </rPr>
      <t>上传的地址</t>
    </r>
  </si>
  <si>
    <t>beforeUpload</t>
  </si>
  <si>
    <r>
      <rPr>
        <sz val="10.5"/>
        <color rgb="FF314659"/>
        <rFont val="Segoe UI"/>
        <charset val="134"/>
      </rPr>
      <t>上传文件之前的钩子，参数为上传的文件，若返回 </t>
    </r>
    <r>
      <rPr>
        <sz val="10.8"/>
        <color rgb="FF314659"/>
        <rFont val="Consolas"/>
        <charset val="134"/>
      </rPr>
      <t>false</t>
    </r>
    <r>
      <rPr>
        <sz val="10.5"/>
        <color rgb="FF314659"/>
        <rFont val="Segoe UI"/>
        <charset val="134"/>
      </rPr>
      <t> 则停止上传。支持返回一个 Promise 对象，Promise 对象 reject 时则停止上传，resolve 时开始上传。</t>
    </r>
    <r>
      <rPr>
        <sz val="10.5"/>
        <color rgb="FF314659"/>
        <rFont val="Segoe UI"/>
        <charset val="134"/>
      </rPr>
      <t>注意：IE9 不支持该方法</t>
    </r>
    <r>
      <rPr>
        <sz val="10.5"/>
        <color rgb="FF314659"/>
        <rFont val="Segoe UI"/>
        <charset val="134"/>
      </rPr>
      <t>。</t>
    </r>
  </si>
  <si>
    <r>
      <rPr>
        <sz val="9"/>
        <color rgb="FF314659"/>
        <rFont val="Lucida Console"/>
        <charset val="134"/>
      </rPr>
      <t>(file, fileList) =&gt; </t>
    </r>
    <r>
      <rPr>
        <sz val="10.8"/>
        <color rgb="FF314659"/>
        <rFont val="Consolas"/>
        <charset val="134"/>
      </rPr>
      <t>boolean | Promise</t>
    </r>
  </si>
  <si>
    <t>customRequest</t>
  </si>
  <si>
    <t>通过覆盖默认的上传行为，可以自定义自己的上传实现</t>
  </si>
  <si>
    <t>Function</t>
  </si>
  <si>
    <t>data</t>
  </si>
  <si>
    <t>上传所需参数或返回上传参数的方法</t>
  </si>
  <si>
    <t>object|function(file)</t>
  </si>
  <si>
    <t>defaultFileList</t>
  </si>
  <si>
    <t>默认已经上传的文件列表</t>
  </si>
  <si>
    <t>fileList</t>
  </si>
  <si>
    <t>已经上传的文件列表（受控），使用此参数时，如果遇到 onChange 只调用一次的问题，请参考 #2423</t>
  </si>
  <si>
    <t>headers</t>
  </si>
  <si>
    <t>设置上传的请求头部，IE10 以上有效</t>
  </si>
  <si>
    <t>listType</t>
  </si>
  <si>
    <r>
      <rPr>
        <sz val="10.5"/>
        <color rgb="FF314659"/>
        <rFont val="Segoe UI"/>
        <charset val="134"/>
      </rPr>
      <t>上传列表的内建样式，支持三种基本样式 </t>
    </r>
    <r>
      <rPr>
        <sz val="10.8"/>
        <color rgb="FF314659"/>
        <rFont val="Consolas"/>
        <charset val="134"/>
      </rPr>
      <t>text</t>
    </r>
    <r>
      <rPr>
        <sz val="10.5"/>
        <color rgb="FF314659"/>
        <rFont val="Segoe UI"/>
        <charset val="134"/>
      </rPr>
      <t>, </t>
    </r>
    <r>
      <rPr>
        <sz val="10.8"/>
        <color rgb="FF314659"/>
        <rFont val="Consolas"/>
        <charset val="134"/>
      </rPr>
      <t>picture</t>
    </r>
    <r>
      <rPr>
        <sz val="10.5"/>
        <color rgb="FF314659"/>
        <rFont val="Segoe UI"/>
        <charset val="134"/>
      </rPr>
      <t> 和 </t>
    </r>
    <r>
      <rPr>
        <sz val="10.8"/>
        <color rgb="FF314659"/>
        <rFont val="Consolas"/>
        <charset val="134"/>
      </rPr>
      <t>picture-card</t>
    </r>
  </si>
  <si>
    <t>'text'</t>
  </si>
  <si>
    <r>
      <rPr>
        <sz val="10.5"/>
        <color rgb="FF314659"/>
        <rFont val="Segoe UI"/>
        <charset val="134"/>
      </rPr>
      <t>是否支持多选文件，</t>
    </r>
    <r>
      <rPr>
        <sz val="10.8"/>
        <color rgb="FF314659"/>
        <rFont val="Consolas"/>
        <charset val="134"/>
      </rPr>
      <t>ie10+</t>
    </r>
    <r>
      <rPr>
        <sz val="10.5"/>
        <color rgb="FF314659"/>
        <rFont val="Segoe UI"/>
        <charset val="134"/>
      </rPr>
      <t> 支持。开启后按住 ctrl 可选择多个文件。</t>
    </r>
  </si>
  <si>
    <t>发到后台的文件参数名</t>
  </si>
  <si>
    <t>'file'</t>
  </si>
  <si>
    <t>showUploadList</t>
  </si>
  <si>
    <t>是否展示 uploadList, 可设为一个对象，用于单独设定 showPreviewIcon 和 showRemoveIcon</t>
  </si>
  <si>
    <t>Boolean or { showPreviewIcon?: boolean, showRemoveIcon?: boolean }</t>
  </si>
  <si>
    <t>supportServerRender</t>
  </si>
  <si>
    <t>服务端渲染时需要打开这个</t>
  </si>
  <si>
    <t>withCredentials</t>
  </si>
  <si>
    <t>上传请求时是否携带 cookie</t>
  </si>
  <si>
    <t>上传文件改变时的状态，详见 onChange</t>
  </si>
  <si>
    <t>onPreview</t>
  </si>
  <si>
    <t>点击文件链接或预览图标时的回调</t>
  </si>
  <si>
    <t>Function(file)</t>
  </si>
  <si>
    <t>onRemove  </t>
  </si>
  <si>
    <t>点击移除文件时的回调，返回值为 false 时不移除。支持返回一个 Promise 对象，Promise 对象 resolve(false) 或 reject 时不移除。              </t>
  </si>
  <si>
    <r>
      <rPr>
        <sz val="9"/>
        <color rgb="FF314659"/>
        <rFont val="Lucida Console"/>
        <charset val="134"/>
      </rPr>
      <t>Function(file): </t>
    </r>
    <r>
      <rPr>
        <sz val="10.8"/>
        <color rgb="FF314659"/>
        <rFont val="Consolas"/>
        <charset val="134"/>
      </rPr>
      <t>boolean | Promise</t>
    </r>
  </si>
  <si>
    <t>无  </t>
  </si>
  <si>
    <t>Rate</t>
  </si>
  <si>
    <t>是否允许再次点击后清除</t>
  </si>
  <si>
    <t>allowHalf</t>
  </si>
  <si>
    <t>是否允许半选</t>
  </si>
  <si>
    <t>character</t>
  </si>
  <si>
    <t>自定义字符</t>
  </si>
  <si>
    <t>ReactNode</t>
  </si>
  <si>
    <t>&lt;Icon type="star" /&gt;</t>
  </si>
  <si>
    <t>className</t>
  </si>
  <si>
    <t>自定义样式类名</t>
  </si>
  <si>
    <t>count</t>
  </si>
  <si>
    <t>star 总数</t>
  </si>
  <si>
    <t>只读，无法进行交互</t>
  </si>
  <si>
    <t>style</t>
  </si>
  <si>
    <t>自定义样式对象</t>
  </si>
  <si>
    <t>当前数，受控值</t>
  </si>
  <si>
    <t>失去焦点时的回调</t>
  </si>
  <si>
    <t>Function()</t>
  </si>
  <si>
    <t>选择时的回调</t>
  </si>
  <si>
    <t>Function(value: number)</t>
  </si>
  <si>
    <t>获取焦点时的回调</t>
  </si>
  <si>
    <t>onHoverChange</t>
  </si>
  <si>
    <t>鼠标经过时数值变化的回调</t>
  </si>
  <si>
    <t>onKeyDown</t>
  </si>
  <si>
    <t>按键回调</t>
  </si>
  <si>
    <t>Function(event)</t>
  </si>
  <si>
    <t xml:space="preserve">string </t>
  </si>
  <si>
    <t>:Must be of type string. This is the default type.</t>
  </si>
  <si>
    <t xml:space="preserve">number </t>
  </si>
  <si>
    <t>:Must be of type number.</t>
  </si>
  <si>
    <t xml:space="preserve">boolean </t>
  </si>
  <si>
    <t>:Must be of type boolean.</t>
  </si>
  <si>
    <t xml:space="preserve">method </t>
  </si>
  <si>
    <t>:Must be of type function.</t>
  </si>
  <si>
    <t xml:space="preserve">regexp </t>
  </si>
  <si>
    <t>:Must be an instance of RegExp or a string that does not generate an exception when creating a new RegExp.</t>
  </si>
  <si>
    <t xml:space="preserve">integer </t>
  </si>
  <si>
    <t>:Must be of type number and an integer.</t>
  </si>
  <si>
    <t xml:space="preserve">float </t>
  </si>
  <si>
    <t>:Must be of type number and a floating point number.</t>
  </si>
  <si>
    <t xml:space="preserve">array </t>
  </si>
  <si>
    <t>:Must be an array as determined by Array.isArray.</t>
  </si>
  <si>
    <t xml:space="preserve">object </t>
  </si>
  <si>
    <t>:Must be of type object and not Array.isArray.</t>
  </si>
  <si>
    <t xml:space="preserve">enum </t>
  </si>
  <si>
    <t>:Value must exist in the enum.  role: {type: "enum", enum: ['admin', 'user', 'guest']}</t>
  </si>
  <si>
    <t xml:space="preserve">date </t>
  </si>
  <si>
    <t>:Value must be valid as determined by Date</t>
  </si>
  <si>
    <t xml:space="preserve">url </t>
  </si>
  <si>
    <t>:Must be of type url.</t>
  </si>
  <si>
    <t xml:space="preserve">hex </t>
  </si>
  <si>
    <t>:Must be of type hex.</t>
  </si>
  <si>
    <t xml:space="preserve">email </t>
  </si>
  <si>
    <t>:Must be of type email.</t>
  </si>
  <si>
    <r>
      <rPr>
        <sz val="9.75"/>
        <color rgb="FF999999"/>
        <rFont val="Lucida Console"/>
        <charset val="134"/>
      </rPr>
      <t>&lt;</t>
    </r>
    <r>
      <rPr>
        <sz val="9.75"/>
        <color rgb="FFF81D22"/>
        <rFont val="Lucida Console"/>
        <charset val="134"/>
      </rPr>
      <t>Select</t>
    </r>
    <r>
      <rPr>
        <sz val="9.75"/>
        <color rgb="FF999999"/>
        <rFont val="Lucida Console"/>
        <charset val="134"/>
      </rPr>
      <t>&gt;</t>
    </r>
  </si>
  <si>
    <r>
      <rPr>
        <sz val="9.75"/>
        <color rgb="FF999999"/>
        <rFont val="Lucida Console"/>
        <charset val="134"/>
      </rPr>
      <t xml:space="preserve">  </t>
    </r>
    <r>
      <rPr>
        <sz val="9.75"/>
        <color rgb="FF999999"/>
        <rFont val="Lucida Console"/>
        <charset val="134"/>
      </rPr>
      <t>&lt;</t>
    </r>
    <r>
      <rPr>
        <sz val="9.75"/>
        <color rgb="FFF81D22"/>
        <rFont val="Lucida Console"/>
        <charset val="134"/>
      </rPr>
      <t xml:space="preserve">Option </t>
    </r>
    <r>
      <rPr>
        <sz val="9.75"/>
        <color rgb="FF0B8235"/>
        <rFont val="Lucida Console"/>
        <charset val="134"/>
      </rPr>
      <t>value</t>
    </r>
    <r>
      <rPr>
        <sz val="9.75"/>
        <color rgb="FF999999"/>
        <rFont val="Lucida Console"/>
        <charset val="134"/>
      </rPr>
      <t>="</t>
    </r>
    <r>
      <rPr>
        <sz val="9.75"/>
        <color rgb="FF008DFF"/>
        <rFont val="Lucida Console"/>
        <charset val="134"/>
      </rPr>
      <t>lucy</t>
    </r>
    <r>
      <rPr>
        <sz val="9.75"/>
        <color rgb="FF999999"/>
        <rFont val="Lucida Console"/>
        <charset val="134"/>
      </rPr>
      <t>"&gt;</t>
    </r>
    <r>
      <rPr>
        <sz val="9.75"/>
        <color rgb="FF314659"/>
        <rFont val="Lucida Console"/>
        <charset val="134"/>
      </rPr>
      <t>lucy</t>
    </r>
    <r>
      <rPr>
        <sz val="9.75"/>
        <color rgb="FF999999"/>
        <rFont val="Lucida Console"/>
        <charset val="134"/>
      </rPr>
      <t>&lt;/</t>
    </r>
    <r>
      <rPr>
        <sz val="9.75"/>
        <color rgb="FFF81D22"/>
        <rFont val="Lucida Console"/>
        <charset val="134"/>
      </rPr>
      <t>Option</t>
    </r>
    <r>
      <rPr>
        <sz val="9.75"/>
        <color rgb="FF999999"/>
        <rFont val="Lucida Console"/>
        <charset val="134"/>
      </rPr>
      <t>&gt;</t>
    </r>
  </si>
  <si>
    <t>Warning: the children of `Select` should be `Select.Option` or `Select.OptGroup`, instead of `HTMLOptionElement`.</t>
  </si>
  <si>
    <r>
      <rPr>
        <sz val="9.75"/>
        <color rgb="FF999999"/>
        <rFont val="Lucida Console"/>
        <charset val="134"/>
      </rPr>
      <t>&lt;/</t>
    </r>
    <r>
      <rPr>
        <sz val="9.75"/>
        <color rgb="FFF81D22"/>
        <rFont val="Lucida Console"/>
        <charset val="134"/>
      </rPr>
      <t>Select</t>
    </r>
    <r>
      <rPr>
        <sz val="9.75"/>
        <color rgb="FF999999"/>
        <rFont val="Lucida Console"/>
        <charset val="134"/>
      </rPr>
      <t>&gt;</t>
    </r>
  </si>
  <si>
    <t>Select props#</t>
  </si>
  <si>
    <r>
      <rPr>
        <sz val="10.5"/>
        <color rgb="FF314659"/>
        <rFont val="Segoe UI"/>
        <charset val="134"/>
      </rPr>
      <t>输入框自动提示模式（2.9 之后废弃，请使用 </t>
    </r>
    <r>
      <rPr>
        <sz val="10.8"/>
        <color rgb="FF314659"/>
        <rFont val="Consolas"/>
        <charset val="134"/>
      </rPr>
      <t>mode</t>
    </r>
    <r>
      <rPr>
        <sz val="10.5"/>
        <color rgb="FF314659"/>
        <rFont val="Segoe UI"/>
        <charset val="134"/>
      </rPr>
      <t>）</t>
    </r>
  </si>
  <si>
    <t xml:space="preserve">  Warning: `defaultValue` is invalid for `getFieldDecorator` will set `value`, please use `option.initialValue` instead.</t>
  </si>
  <si>
    <t>下拉菜单的 className 属性</t>
  </si>
  <si>
    <t>下拉菜单的 style 属性</t>
  </si>
  <si>
    <r>
      <rPr>
        <sz val="10.5"/>
        <color rgb="FF314659"/>
        <rFont val="Segoe UI"/>
        <charset val="134"/>
      </rPr>
      <t>是否根据输入项进行筛选。当其为一个函数时，会接收 </t>
    </r>
    <r>
      <rPr>
        <sz val="10.8"/>
        <color rgb="FF314659"/>
        <rFont val="Consolas"/>
        <charset val="134"/>
      </rPr>
      <t>inputValueoption</t>
    </r>
    <r>
      <rPr>
        <sz val="10.5"/>
        <color rgb="FF314659"/>
        <rFont val="Segoe UI"/>
        <charset val="134"/>
      </rPr>
      <t> 两个参数，当 </t>
    </r>
    <r>
      <rPr>
        <sz val="10.8"/>
        <color rgb="FF314659"/>
        <rFont val="Consolas"/>
        <charset val="134"/>
      </rPr>
      <t>option</t>
    </r>
    <r>
      <rPr>
        <sz val="10.5"/>
        <color rgb="FF314659"/>
        <rFont val="Segoe UI"/>
        <charset val="134"/>
      </rPr>
      <t> 符合筛选条件时，应返回 </t>
    </r>
    <r>
      <rPr>
        <sz val="10.8"/>
        <color rgb="FF314659"/>
        <rFont val="Consolas"/>
        <charset val="134"/>
      </rPr>
      <t>true</t>
    </r>
    <r>
      <rPr>
        <sz val="10.5"/>
        <color rgb="FF314659"/>
        <rFont val="Segoe UI"/>
        <charset val="134"/>
      </rPr>
      <t>，反之则返回 </t>
    </r>
    <r>
      <rPr>
        <sz val="10.8"/>
        <color rgb="FF314659"/>
        <rFont val="Consolas"/>
        <charset val="134"/>
      </rPr>
      <t>false</t>
    </r>
    <r>
      <rPr>
        <sz val="10.5"/>
        <color rgb="FF314659"/>
        <rFont val="Segoe UI"/>
        <charset val="134"/>
      </rPr>
      <t>。</t>
    </r>
  </si>
  <si>
    <t>菜单渲染父节点。默认渲染到 body 上，如果你遇到菜单滚动定位问题，试试修改为滚动的区域，并相对其定位。示例</t>
  </si>
  <si>
    <r>
      <rPr>
        <sz val="10.5"/>
        <color rgb="FF314659"/>
        <rFont val="Segoe UI"/>
        <charset val="134"/>
      </rPr>
      <t>是否把每个选项的 label 包装到 value 中，会把 Select 的 value 类型从 </t>
    </r>
    <r>
      <rPr>
        <sz val="10.8"/>
        <color rgb="FF314659"/>
        <rFont val="Consolas"/>
        <charset val="134"/>
      </rPr>
      <t>string</t>
    </r>
    <r>
      <rPr>
        <sz val="10.5"/>
        <color rgb="FF314659"/>
        <rFont val="Segoe UI"/>
        <charset val="134"/>
      </rPr>
      <t> 变为 </t>
    </r>
    <r>
      <rPr>
        <sz val="10.8"/>
        <color rgb="FF314659"/>
        <rFont val="Consolas"/>
        <charset val="134"/>
      </rPr>
      <t>{key: string, label: ReactNode}</t>
    </r>
    <r>
      <rPr>
        <sz val="10.5"/>
        <color rgb="FF314659"/>
        <rFont val="Segoe UI"/>
        <charset val="134"/>
      </rPr>
      <t> 的格式</t>
    </r>
  </si>
  <si>
    <t>最多显示多少个 tag</t>
  </si>
  <si>
    <t>隐藏 tag 时显示的内容</t>
  </si>
  <si>
    <t>设置 Select 的模式（2.9 之后支持）</t>
  </si>
  <si>
    <r>
      <rPr>
        <sz val="10.5"/>
        <color rgb="FF314659"/>
        <rFont val="Segoe UI"/>
        <charset val="134"/>
      </rPr>
      <t>支持多选（2.9 之后废弃，请使用 </t>
    </r>
    <r>
      <rPr>
        <sz val="10.8"/>
        <color rgb="FF314659"/>
        <rFont val="Consolas"/>
        <charset val="134"/>
      </rPr>
      <t>mode</t>
    </r>
    <r>
      <rPr>
        <sz val="10.5"/>
        <color rgb="FF314659"/>
        <rFont val="Segoe UI"/>
        <charset val="134"/>
      </rPr>
      <t>）</t>
    </r>
  </si>
  <si>
    <t>搜索时过滤对应的 option 属性，如设置为 children 表示对内嵌内容进行搜索</t>
  </si>
  <si>
    <r>
      <rPr>
        <sz val="10.5"/>
        <color rgb="FF314659"/>
        <rFont val="Segoe UI"/>
        <charset val="134"/>
      </rPr>
      <t>回填到选择框的 Option 的属性值，默认是 Option 的子元素。比如在子元素需要高亮效果时，此值可以设为 </t>
    </r>
    <r>
      <rPr>
        <sz val="10.8"/>
        <color rgb="FF314659"/>
        <rFont val="Consolas"/>
        <charset val="134"/>
      </rPr>
      <t>value</t>
    </r>
    <r>
      <rPr>
        <sz val="10.5"/>
        <color rgb="FF314659"/>
        <rFont val="Segoe UI"/>
        <charset val="134"/>
      </rPr>
      <t>。</t>
    </r>
  </si>
  <si>
    <t>是否显示下拉小箭头</t>
  </si>
  <si>
    <r>
      <rPr>
        <sz val="10.5"/>
        <color rgb="FF314659"/>
        <rFont val="Segoe UI"/>
        <charset val="134"/>
      </rPr>
      <t>选择框大小，可选 </t>
    </r>
    <r>
      <rPr>
        <sz val="10.8"/>
        <color rgb="FF314659"/>
        <rFont val="Consolas"/>
        <charset val="134"/>
      </rPr>
      <t>large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small</t>
    </r>
  </si>
  <si>
    <r>
      <rPr>
        <sz val="10.5"/>
        <color rgb="FF314659"/>
        <rFont val="Segoe UI"/>
        <charset val="134"/>
      </rPr>
      <t>可以把随意输入的条目作为 tag，输入项不需要与下拉选项匹配（2.9 之后废弃，请使用 </t>
    </r>
    <r>
      <rPr>
        <sz val="10.8"/>
        <color rgb="FF314659"/>
        <rFont val="Consolas"/>
        <charset val="134"/>
      </rPr>
      <t>mode</t>
    </r>
    <r>
      <rPr>
        <sz val="10.5"/>
        <color rgb="FF314659"/>
        <rFont val="Segoe UI"/>
        <charset val="134"/>
      </rPr>
      <t>）</t>
    </r>
  </si>
  <si>
    <t>在 tags 和 multiple 模式下自动分词的分隔符</t>
  </si>
  <si>
    <t>选中 option，或 input 的 value 变化（combobox 模式下）时，调用此函数</t>
  </si>
  <si>
    <t>取消选中时调用，参数为选中项的 value (或 key) 值，仅在 multiple 或 tags 模式下生效</t>
  </si>
  <si>
    <t>被选中时调用，参数为选中项的 value (或 key) 值</t>
  </si>
  <si>
    <t>和 value 含义一致。如果 React 需要你设置此项，此项值与 value 的值相同，然后可以省略 value 设置</t>
  </si>
  <si>
    <t>选中该 Option 后，Select 的 title</t>
  </si>
  <si>
    <t>Input#</t>
  </si>
  <si>
    <t>带标签的 input，设置后置标签</t>
  </si>
  <si>
    <t>带标签的 input，设置前置标签</t>
  </si>
  <si>
    <t>是否禁用状态，默认为 false</t>
  </si>
  <si>
    <t>输入框的 id</t>
  </si>
  <si>
    <t>带有前缀图标的 input</t>
  </si>
  <si>
    <r>
      <rPr>
        <sz val="10.5"/>
        <color rgb="FF314659"/>
        <rFont val="Segoe UI"/>
        <charset val="134"/>
      </rPr>
      <t>控件大小。注：标准表单内的输入框大小限制为 </t>
    </r>
    <r>
      <rPr>
        <sz val="10.8"/>
        <color rgb="FF314659"/>
        <rFont val="Consolas"/>
        <charset val="134"/>
      </rPr>
      <t>large</t>
    </r>
    <r>
      <rPr>
        <sz val="10.5"/>
        <color rgb="FF314659"/>
        <rFont val="Segoe UI"/>
        <charset val="134"/>
      </rPr>
      <t>。可选 </t>
    </r>
    <r>
      <rPr>
        <sz val="10.8"/>
        <color rgb="FF314659"/>
        <rFont val="Consolas"/>
        <charset val="134"/>
      </rPr>
      <t>large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default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small</t>
    </r>
  </si>
  <si>
    <t>带有后缀图标的 input</t>
  </si>
  <si>
    <r>
      <t>声明</t>
    </r>
    <r>
      <rPr>
        <sz val="10.5"/>
        <color rgb="FF314659"/>
        <rFont val="Segoe UI"/>
        <charset val="134"/>
      </rPr>
      <t xml:space="preserve"> input </t>
    </r>
    <r>
      <rPr>
        <sz val="10.5"/>
        <color rgb="FF314659"/>
        <rFont val="宋体"/>
        <charset val="134"/>
      </rPr>
      <t>类型，同原生</t>
    </r>
    <r>
      <rPr>
        <sz val="10.5"/>
        <color rgb="FF314659"/>
        <rFont val="Segoe UI"/>
        <charset val="134"/>
      </rPr>
      <t xml:space="preserve"> input </t>
    </r>
    <r>
      <rPr>
        <sz val="10.5"/>
        <color rgb="FF314659"/>
        <rFont val="宋体"/>
        <charset val="134"/>
      </rPr>
      <t>标签的</t>
    </r>
    <r>
      <rPr>
        <sz val="10.5"/>
        <color rgb="FF314659"/>
        <rFont val="Segoe UI"/>
        <charset val="134"/>
      </rPr>
      <t xml:space="preserve"> type </t>
    </r>
    <r>
      <rPr>
        <sz val="10.5"/>
        <color rgb="FF314659"/>
        <rFont val="宋体"/>
        <charset val="134"/>
      </rPr>
      <t>属性，见：</t>
    </r>
    <r>
      <rPr>
        <sz val="10.5"/>
        <color rgb="FF314659"/>
        <rFont val="Segoe UI"/>
        <charset val="134"/>
      </rPr>
      <t>MDN(</t>
    </r>
    <r>
      <rPr>
        <sz val="10.5"/>
        <color rgb="FF314659"/>
        <rFont val="宋体"/>
        <charset val="134"/>
      </rPr>
      <t>请直接使用</t>
    </r>
    <r>
      <rPr>
        <sz val="10.5"/>
        <color rgb="FF314659"/>
        <rFont val="Segoe UI"/>
        <charset val="134"/>
      </rPr>
      <t> Input.TextArea </t>
    </r>
    <r>
      <rPr>
        <sz val="10.5"/>
        <color rgb="FF314659"/>
        <rFont val="宋体"/>
        <charset val="134"/>
      </rPr>
      <t>代替</t>
    </r>
    <r>
      <rPr>
        <sz val="10.5"/>
        <color rgb="FF314659"/>
        <rFont val="Segoe UI"/>
        <charset val="134"/>
      </rPr>
      <t> type="textarea")</t>
    </r>
    <r>
      <rPr>
        <sz val="10.5"/>
        <color rgb="FF314659"/>
        <rFont val="宋体"/>
        <charset val="134"/>
      </rPr>
      <t>。</t>
    </r>
  </si>
  <si>
    <t>text</t>
  </si>
  <si>
    <t xml:space="preserve">还有  </t>
  </si>
  <si>
    <t>Input.TextArea#</t>
  </si>
  <si>
    <r>
      <rPr>
        <sz val="10.8"/>
        <color rgb="FF697B8C"/>
        <rFont val="Consolas"/>
        <charset val="134"/>
      </rPr>
      <t>2.12</t>
    </r>
    <r>
      <rPr>
        <sz val="9.45"/>
        <color rgb="FF697B8C"/>
        <rFont val="Segoe UI"/>
        <charset val="134"/>
      </rPr>
      <t> </t>
    </r>
    <r>
      <rPr>
        <sz val="9.45"/>
        <color rgb="FF697B8C"/>
        <rFont val="Segoe UI"/>
        <charset val="134"/>
      </rPr>
      <t>后新增的组件，旧版请使用</t>
    </r>
    <r>
      <rPr>
        <sz val="9.45"/>
        <color rgb="FF697B8C"/>
        <rFont val="Segoe UI"/>
        <charset val="134"/>
      </rPr>
      <t> </t>
    </r>
    <r>
      <rPr>
        <sz val="10.8"/>
        <color rgb="FF697B8C"/>
        <rFont val="Consolas"/>
        <charset val="134"/>
      </rPr>
      <t>Input[type=textarea]</t>
    </r>
    <r>
      <rPr>
        <sz val="9.45"/>
        <color rgb="FF697B8C"/>
        <rFont val="Segoe UI"/>
        <charset val="134"/>
      </rPr>
      <t>。</t>
    </r>
  </si>
  <si>
    <t>autosize</t>
  </si>
  <si>
    <r>
      <rPr>
        <sz val="10.5"/>
        <color rgb="FF314659"/>
        <rFont val="Segoe UI"/>
        <charset val="134"/>
      </rPr>
      <t>自适应内容高度，可设置为 </t>
    </r>
    <r>
      <rPr>
        <sz val="10.8"/>
        <color rgb="FF314659"/>
        <rFont val="Consolas"/>
        <charset val="134"/>
      </rPr>
      <t>true|false</t>
    </r>
    <r>
      <rPr>
        <sz val="10.5"/>
        <color rgb="FF314659"/>
        <rFont val="Segoe UI"/>
        <charset val="134"/>
      </rPr>
      <t> 或对象：</t>
    </r>
    <r>
      <rPr>
        <sz val="10.8"/>
        <color rgb="FF314659"/>
        <rFont val="Consolas"/>
        <charset val="134"/>
      </rPr>
      <t>{ minRows: 2, maxRows: 6 }</t>
    </r>
  </si>
  <si>
    <t>boolean|object</t>
  </si>
  <si>
    <t>Input.TextArea 的其他属性和浏览器自带的 textarea 一致。</t>
  </si>
  <si>
    <t>Input.Search#</t>
  </si>
  <si>
    <t>enterButton</t>
  </si>
  <si>
    <t>是否有确认按钮，可设为按钮文字</t>
  </si>
  <si>
    <t>boolean|ReactNode</t>
  </si>
  <si>
    <t>点击搜索或按下回车键时的回调</t>
  </si>
  <si>
    <t>function(value)</t>
  </si>
  <si>
    <t>其余属性和 Input 一致。</t>
  </si>
  <si>
    <t>Input.Group#</t>
  </si>
  <si>
    <t>compact</t>
  </si>
  <si>
    <t>是否用紧凑模式</t>
  </si>
  <si>
    <r>
      <rPr>
        <sz val="10.8"/>
        <color rgb="FF314659"/>
        <rFont val="Consolas"/>
        <charset val="134"/>
      </rPr>
      <t>Input.Group</t>
    </r>
    <r>
      <rPr>
        <sz val="10.5"/>
        <color rgb="FF314659"/>
        <rFont val="Segoe UI"/>
        <charset val="134"/>
      </rPr>
      <t> 中所有的 </t>
    </r>
    <r>
      <rPr>
        <sz val="10.8"/>
        <color rgb="FF314659"/>
        <rFont val="Consolas"/>
        <charset val="134"/>
      </rPr>
      <t>Input</t>
    </r>
    <r>
      <rPr>
        <sz val="10.5"/>
        <color rgb="FF314659"/>
        <rFont val="Segoe UI"/>
        <charset val="134"/>
      </rPr>
      <t> 的大小，可选 </t>
    </r>
    <r>
      <rPr>
        <sz val="10.8"/>
        <color rgb="FF314659"/>
        <rFont val="Consolas"/>
        <charset val="134"/>
      </rPr>
      <t>large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default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small</t>
    </r>
  </si>
  <si>
    <r>
      <rPr>
        <sz val="9.75"/>
        <color rgb="FF999999"/>
        <rFont val="Lucida Console"/>
        <charset val="134"/>
      </rPr>
      <t>&lt;</t>
    </r>
    <r>
      <rPr>
        <sz val="9.75"/>
        <color rgb="FFF81D22"/>
        <rFont val="Lucida Console"/>
        <charset val="134"/>
      </rPr>
      <t>Input.Group</t>
    </r>
    <r>
      <rPr>
        <sz val="9.75"/>
        <color rgb="FF999999"/>
        <rFont val="Lucida Console"/>
        <charset val="134"/>
      </rPr>
      <t>&gt;</t>
    </r>
  </si>
  <si>
    <r>
      <rPr>
        <sz val="9.75"/>
        <color rgb="FF999999"/>
        <rFont val="Lucida Console"/>
        <charset val="134"/>
      </rPr>
      <t xml:space="preserve">  </t>
    </r>
    <r>
      <rPr>
        <sz val="9.75"/>
        <color rgb="FF999999"/>
        <rFont val="Lucida Console"/>
        <charset val="134"/>
      </rPr>
      <t>&lt;</t>
    </r>
    <r>
      <rPr>
        <sz val="9.75"/>
        <color rgb="FFF81D22"/>
        <rFont val="Lucida Console"/>
        <charset val="134"/>
      </rPr>
      <t xml:space="preserve">Input </t>
    </r>
    <r>
      <rPr>
        <sz val="9.75"/>
        <color rgb="FF999999"/>
        <rFont val="Lucida Console"/>
        <charset val="134"/>
      </rPr>
      <t>/&gt;</t>
    </r>
  </si>
  <si>
    <r>
      <rPr>
        <sz val="9.75"/>
        <color rgb="FF999999"/>
        <rFont val="Lucida Console"/>
        <charset val="134"/>
      </rPr>
      <t>&lt;/</t>
    </r>
    <r>
      <rPr>
        <sz val="9.75"/>
        <color rgb="FFF81D22"/>
        <rFont val="Lucida Console"/>
        <charset val="134"/>
      </rPr>
      <t>Input.Group</t>
    </r>
    <r>
      <rPr>
        <sz val="9.75"/>
        <color rgb="FF999999"/>
        <rFont val="Lucida Console"/>
        <charset val="134"/>
      </rPr>
      <t>&gt;</t>
    </r>
  </si>
  <si>
    <t>属性如下</t>
  </si>
  <si>
    <r>
      <rPr>
        <sz val="10.5"/>
        <color rgb="FF314659"/>
        <rFont val="Segoe UI"/>
        <charset val="134"/>
      </rPr>
      <t>通过设置 Button 的属性来产生不同的按钮样式，推荐顺序为：</t>
    </r>
    <r>
      <rPr>
        <sz val="10.8"/>
        <color rgb="FF314659"/>
        <rFont val="Consolas"/>
        <charset val="134"/>
      </rPr>
      <t>type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-&gt;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shape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-&gt;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size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-&gt;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loading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-&gt;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disabled</t>
    </r>
  </si>
  <si>
    <t>按钮的属性说明如下：</t>
  </si>
  <si>
    <t>服务端上传接口实现可以参考 jQuery-File-Upload。</t>
  </si>
  <si>
    <t>const uploadProps = {
  name: 'file',
  action: '//jsonplaceholder.typicode.com/posts/',
  headers: {
    authorization: 'authorization-text',
  },
  onChange(info) {
    if (info.file.status !== 'uploading') {
      console.log(info.file, info.fileList);
    }
    if (info.file.status === 'done') {
      message.success(`${info.file.name} file uploaded successfully`);
    } else if (info.file.status === 'error') {
      message.error(`${info.file.name} file upload failed.`);
    }
  },
};</t>
  </si>
  <si>
    <t>必选参数, 上传的地址</t>
  </si>
  <si>
    <r>
      <t>defaultFileList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999999"/>
        <rFont val="Lucida Console"/>
        <charset val="134"/>
      </rPr>
      <t>[{</t>
    </r>
    <r>
      <rPr>
        <sz val="10.5"/>
        <color rgb="FF314659"/>
        <rFont val="Lucida Console"/>
        <charset val="134"/>
      </rPr>
      <t xml:space="preserve"> uid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F81D22"/>
        <rFont val="Lucida Console"/>
        <charset val="134"/>
      </rPr>
      <t>1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name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'xxx.png'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status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'done'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reponse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'Server Error 500'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708090"/>
        <rFont val="Lucida Console"/>
        <charset val="134"/>
      </rPr>
      <t>// custom error message to show</t>
    </r>
    <r>
      <rPr>
        <sz val="10.5"/>
        <color rgb="FF314659"/>
        <rFont val="Lucida Console"/>
        <charset val="134"/>
      </rPr>
      <t xml:space="preserve"> url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'http://www.baidu.com/xxx.png'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999999"/>
        <rFont val="Lucida Console"/>
        <charset val="134"/>
      </rPr>
      <t>},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999999"/>
        <rFont val="Lucida Console"/>
        <charset val="134"/>
      </rPr>
      <t>{</t>
    </r>
    <r>
      <rPr>
        <sz val="10.5"/>
        <color rgb="FF314659"/>
        <rFont val="Lucida Console"/>
        <charset val="134"/>
      </rPr>
      <t xml:space="preserve"> uid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F81D22"/>
        <rFont val="Lucida Console"/>
        <charset val="134"/>
      </rPr>
      <t>2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name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'yyy.png'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status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'done'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url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'http://www.baidu.com/yyy.png'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999999"/>
        <rFont val="Lucida Console"/>
        <charset val="134"/>
      </rPr>
      <t>},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999999"/>
        <rFont val="Lucida Console"/>
        <charset val="134"/>
      </rPr>
      <t>{</t>
    </r>
    <r>
      <rPr>
        <sz val="10.5"/>
        <color rgb="FF314659"/>
        <rFont val="Lucida Console"/>
        <charset val="134"/>
      </rPr>
      <t xml:space="preserve"> uid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F81D22"/>
        <rFont val="Lucida Console"/>
        <charset val="134"/>
      </rPr>
      <t>3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name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'zzz.png'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status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'error'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reponse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'Server Error 500'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708090"/>
        <rFont val="Lucida Console"/>
        <charset val="134"/>
      </rPr>
      <t>// custom error message to show</t>
    </r>
    <r>
      <rPr>
        <sz val="10.5"/>
        <color rgb="FF314659"/>
        <rFont val="Lucida Console"/>
        <charset val="134"/>
      </rPr>
      <t xml:space="preserve"> url</t>
    </r>
    <r>
      <rPr>
        <sz val="10.5"/>
        <color rgb="FF999999"/>
        <rFont val="Lucida Console"/>
        <charset val="134"/>
      </rPr>
      <t>: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0B8235"/>
        <rFont val="Lucida Console"/>
        <charset val="134"/>
      </rPr>
      <t>'http://www.baidu.com/zzz.png'</t>
    </r>
    <r>
      <rPr>
        <sz val="10.5"/>
        <color rgb="FF999999"/>
        <rFont val="Lucida Console"/>
        <charset val="134"/>
      </rPr>
      <t>,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999999"/>
        <rFont val="Lucida Console"/>
        <charset val="134"/>
      </rPr>
      <t>}],</t>
    </r>
    <r>
      <rPr>
        <sz val="10.5"/>
        <color rgb="FF314659"/>
        <rFont val="Lucida Console"/>
        <charset val="134"/>
      </rPr>
      <t xml:space="preserve"> </t>
    </r>
    <r>
      <rPr>
        <sz val="10.5"/>
        <color rgb="FF999999"/>
        <rFont val="Lucida Console"/>
        <charset val="134"/>
      </rPr>
      <t>};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</si>
</sst>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64">
    <font>
      <sz val="11"/>
      <color theme="1"/>
      <name val="宋体"/>
      <charset val="134"/>
      <scheme val="minor"/>
    </font>
    <font>
      <sz val="18"/>
      <color rgb="FF0D1A26"/>
      <name val="Segoe UI"/>
      <charset val="134"/>
    </font>
    <font>
      <sz val="10.5"/>
      <color rgb="FF5C6B77"/>
      <name val="Segoe UI"/>
      <charset val="134"/>
    </font>
    <font>
      <sz val="10.5"/>
      <color rgb="FF314659"/>
      <name val="Lucida Console"/>
      <charset val="134"/>
    </font>
    <font>
      <sz val="10.5"/>
      <color rgb="FF314659"/>
      <name val="Segoe UI"/>
      <charset val="134"/>
    </font>
    <font>
      <sz val="9"/>
      <color rgb="FF314659"/>
      <name val="Lucida Console"/>
      <charset val="134"/>
    </font>
    <font>
      <sz val="10.8"/>
      <color rgb="FF314659"/>
      <name val="Consolas"/>
      <charset val="134"/>
    </font>
    <font>
      <sz val="9.45"/>
      <color rgb="FF697B8C"/>
      <name val="Segoe UI"/>
      <charset val="134"/>
    </font>
    <font>
      <sz val="13.5"/>
      <color rgb="FF0D1A26"/>
      <name val="Segoe UI"/>
      <charset val="134"/>
    </font>
    <font>
      <sz val="10.5"/>
      <color rgb="FFC00000"/>
      <name val="Lucida Console"/>
      <charset val="134"/>
    </font>
    <font>
      <sz val="10.5"/>
      <color rgb="FF314659"/>
      <name val="宋体"/>
      <charset val="134"/>
    </font>
    <font>
      <sz val="10.8"/>
      <color rgb="FF697B8C"/>
      <name val="Consolas"/>
      <charset val="134"/>
    </font>
    <font>
      <sz val="12"/>
      <color rgb="FF0D1A26"/>
      <name val="Segoe UI"/>
      <charset val="134"/>
    </font>
    <font>
      <sz val="9.75"/>
      <color rgb="FF999999"/>
      <name val="Lucida Console"/>
      <charset val="134"/>
    </font>
    <font>
      <sz val="9"/>
      <color rgb="FFFF0000"/>
      <name val="Consolas"/>
      <charset val="134"/>
    </font>
    <font>
      <sz val="11"/>
      <color rgb="FF5C6B77"/>
      <name val="宋体"/>
      <charset val="134"/>
    </font>
    <font>
      <sz val="11"/>
      <color rgb="FF314659"/>
      <name val="宋体"/>
      <charset val="134"/>
    </font>
    <font>
      <sz val="11"/>
      <color rgb="FF314659"/>
      <name val="Consolas"/>
      <charset val="134"/>
    </font>
    <font>
      <sz val="10.5"/>
      <color rgb="FFFF0000"/>
      <name val="Lucida Console"/>
      <charset val="134"/>
    </font>
    <font>
      <sz val="11"/>
      <color rgb="FF314659"/>
      <name val="Segoe UI"/>
      <charset val="134"/>
    </font>
    <font>
      <sz val="10.5"/>
      <color rgb="FFC00000"/>
      <name val="宋体"/>
      <charset val="134"/>
    </font>
    <font>
      <b/>
      <sz val="11"/>
      <color rgb="FF5C6B77"/>
      <name val="宋体"/>
      <charset val="134"/>
    </font>
    <font>
      <sz val="10.5"/>
      <color rgb="FF000000"/>
      <name val="Segoe UI"/>
      <charset val="134"/>
    </font>
    <font>
      <sz val="9"/>
      <color rgb="FF1890FF"/>
      <name val="Lucida Console"/>
      <charset val="134"/>
    </font>
    <font>
      <sz val="11"/>
      <color rgb="FFFF0000"/>
      <name val="宋体"/>
      <charset val="134"/>
      <scheme val="minor"/>
    </font>
    <font>
      <sz val="10.5"/>
      <color theme="1"/>
      <name val="宋体"/>
      <charset val="134"/>
      <scheme val="minor"/>
    </font>
    <font>
      <sz val="11"/>
      <color rgb="FFFFC000"/>
      <name val="宋体"/>
      <charset val="134"/>
      <scheme val="minor"/>
    </font>
    <font>
      <sz val="10"/>
      <color rgb="FF000080"/>
      <name val="Arial Unicode MS"/>
      <charset val="134"/>
    </font>
    <font>
      <sz val="11"/>
      <name val="宋体"/>
      <charset val="134"/>
      <scheme val="minor"/>
    </font>
    <font>
      <sz val="11"/>
      <color theme="4"/>
      <name val="宋体"/>
      <charset val="134"/>
      <scheme val="minor"/>
    </font>
    <font>
      <u/>
      <sz val="10.5"/>
      <color rgb="FF314659"/>
      <name val="Lucida Console"/>
      <charset val="134"/>
    </font>
    <font>
      <sz val="10.5"/>
      <color rgb="FFFF0000"/>
      <name val="宋体"/>
      <charset val="134"/>
    </font>
    <font>
      <sz val="10.5"/>
      <name val="Lucida Console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0.5"/>
      <color rgb="FF999999"/>
      <name val="Lucida Console"/>
      <charset val="134"/>
    </font>
    <font>
      <sz val="10.5"/>
      <color rgb="FFF81D22"/>
      <name val="Lucida Console"/>
      <charset val="134"/>
    </font>
    <font>
      <sz val="10.5"/>
      <color rgb="FF0B8235"/>
      <name val="Lucida Console"/>
      <charset val="134"/>
    </font>
    <font>
      <sz val="10.5"/>
      <color rgb="FF708090"/>
      <name val="Lucida Console"/>
      <charset val="134"/>
    </font>
    <font>
      <sz val="9.75"/>
      <color rgb="FFF81D22"/>
      <name val="Lucida Console"/>
      <charset val="134"/>
    </font>
    <font>
      <sz val="9.75"/>
      <color rgb="FF0B8235"/>
      <name val="Lucida Console"/>
      <charset val="134"/>
    </font>
    <font>
      <sz val="9.75"/>
      <color rgb="FF008DFF"/>
      <name val="Lucida Console"/>
      <charset val="134"/>
    </font>
    <font>
      <sz val="9.75"/>
      <color rgb="FF314659"/>
      <name val="Lucida Console"/>
      <charset val="134"/>
    </font>
    <font>
      <sz val="11"/>
      <color rgb="FFFF0000"/>
      <name val="Segoe UI"/>
      <charset val="134"/>
    </font>
    <font>
      <sz val="11"/>
      <color rgb="FFFF0000"/>
      <name val="宋体"/>
      <charset val="134"/>
    </font>
    <font>
      <sz val="11"/>
      <color rgb="FFFF0000"/>
      <name val="Consolas"/>
      <charset val="134"/>
    </font>
    <font>
      <sz val="10.5"/>
      <color rgb="FFC00000"/>
      <name val="Segoe UI"/>
      <charset val="134"/>
    </font>
  </fonts>
  <fills count="3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</fills>
  <borders count="12">
    <border>
      <left/>
      <right/>
      <top/>
      <bottom/>
      <diagonal/>
    </border>
    <border>
      <left style="medium">
        <color rgb="FFEBEDF0"/>
      </left>
      <right style="medium">
        <color rgb="FFEBEDF0"/>
      </right>
      <top style="medium">
        <color rgb="FFEBEDF0"/>
      </top>
      <bottom style="medium">
        <color rgb="FFEBEDF0"/>
      </bottom>
      <diagonal/>
    </border>
    <border>
      <left style="thick">
        <color rgb="FFEBEDF0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42" fillId="20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0" fillId="29" borderId="10" applyNumberFormat="0" applyFont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48" fillId="0" borderId="9" applyNumberFormat="0" applyFill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5" fillId="0" borderId="4" applyNumberFormat="0" applyFill="0" applyAlignment="0" applyProtection="0">
      <alignment vertical="center"/>
    </xf>
    <xf numFmtId="0" fontId="33" fillId="37" borderId="0" applyNumberFormat="0" applyBorder="0" applyAlignment="0" applyProtection="0">
      <alignment vertical="center"/>
    </xf>
    <xf numFmtId="0" fontId="38" fillId="13" borderId="5" applyNumberFormat="0" applyAlignment="0" applyProtection="0">
      <alignment vertical="center"/>
    </xf>
    <xf numFmtId="0" fontId="47" fillId="13" borderId="6" applyNumberFormat="0" applyAlignment="0" applyProtection="0">
      <alignment vertical="center"/>
    </xf>
    <xf numFmtId="0" fontId="51" fillId="36" borderId="11" applyNumberFormat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5" fillId="0" borderId="8" applyNumberFormat="0" applyFill="0" applyAlignment="0" applyProtection="0">
      <alignment vertical="center"/>
    </xf>
    <xf numFmtId="0" fontId="50" fillId="34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8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1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0" fillId="0" borderId="2" xfId="0" applyBorder="1">
      <alignment vertical="center"/>
    </xf>
    <xf numFmtId="0" fontId="7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horizontal="left" vertical="center" wrapText="1" readingOrder="1"/>
    </xf>
    <xf numFmtId="0" fontId="14" fillId="0" borderId="0" xfId="0" applyFont="1">
      <alignment vertical="center"/>
    </xf>
    <xf numFmtId="0" fontId="0" fillId="0" borderId="0" xfId="0" applyFont="1">
      <alignment vertical="center"/>
    </xf>
    <xf numFmtId="0" fontId="15" fillId="2" borderId="1" xfId="0" applyFont="1" applyFill="1" applyBorder="1" applyAlignment="1">
      <alignment horizontal="left" vertical="center"/>
    </xf>
    <xf numFmtId="0" fontId="16" fillId="2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16" fillId="3" borderId="1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left" vertical="center" wrapText="1"/>
    </xf>
    <xf numFmtId="0" fontId="18" fillId="2" borderId="1" xfId="0" applyFont="1" applyFill="1" applyBorder="1" applyAlignment="1">
      <alignment horizontal="left" vertical="center" wrapText="1"/>
    </xf>
    <xf numFmtId="0" fontId="19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right" vertical="center"/>
    </xf>
    <xf numFmtId="0" fontId="20" fillId="2" borderId="1" xfId="0" applyFont="1" applyFill="1" applyBorder="1" applyAlignment="1">
      <alignment horizontal="left" vertical="center" wrapText="1"/>
    </xf>
    <xf numFmtId="0" fontId="21" fillId="2" borderId="3" xfId="0" applyFont="1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0" borderId="3" xfId="0" applyBorder="1">
      <alignment vertical="center"/>
    </xf>
    <xf numFmtId="0" fontId="3" fillId="4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horizontal="left" vertical="center" wrapText="1"/>
    </xf>
    <xf numFmtId="0" fontId="22" fillId="2" borderId="3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left" vertical="center" wrapText="1"/>
    </xf>
    <xf numFmtId="0" fontId="23" fillId="2" borderId="3" xfId="0" applyFont="1" applyFill="1" applyBorder="1" applyAlignment="1">
      <alignment horizontal="left" vertical="center" wrapText="1"/>
    </xf>
    <xf numFmtId="0" fontId="10" fillId="2" borderId="3" xfId="0" applyFont="1" applyFill="1" applyBorder="1" applyAlignment="1">
      <alignment horizontal="left" vertical="center" wrapText="1"/>
    </xf>
    <xf numFmtId="0" fontId="0" fillId="2" borderId="3" xfId="0" applyFill="1" applyBorder="1">
      <alignment vertical="center"/>
    </xf>
    <xf numFmtId="0" fontId="24" fillId="4" borderId="3" xfId="0" applyFont="1" applyFill="1" applyBorder="1">
      <alignment vertical="center"/>
    </xf>
    <xf numFmtId="0" fontId="25" fillId="5" borderId="3" xfId="0" applyFont="1" applyFill="1" applyBorder="1" applyAlignment="1">
      <alignment horizontal="left" vertical="center"/>
    </xf>
    <xf numFmtId="0" fontId="0" fillId="5" borderId="3" xfId="0" applyFill="1" applyBorder="1">
      <alignment vertical="center"/>
    </xf>
    <xf numFmtId="0" fontId="26" fillId="0" borderId="0" xfId="0" applyFont="1">
      <alignment vertical="center"/>
    </xf>
    <xf numFmtId="0" fontId="0" fillId="3" borderId="0" xfId="0" applyFill="1">
      <alignment vertical="center"/>
    </xf>
    <xf numFmtId="0" fontId="24" fillId="0" borderId="0" xfId="0" applyFont="1">
      <alignment vertical="center"/>
    </xf>
    <xf numFmtId="0" fontId="27" fillId="0" borderId="0" xfId="0" applyFont="1">
      <alignment vertical="center"/>
    </xf>
    <xf numFmtId="0" fontId="28" fillId="6" borderId="0" xfId="0" applyFont="1" applyFill="1">
      <alignment vertical="center"/>
    </xf>
    <xf numFmtId="0" fontId="29" fillId="0" borderId="3" xfId="0" applyFont="1" applyBorder="1">
      <alignment vertical="center"/>
    </xf>
    <xf numFmtId="0" fontId="3" fillId="3" borderId="3" xfId="0" applyFont="1" applyFill="1" applyBorder="1" applyAlignment="1">
      <alignment horizontal="left" vertical="center" wrapText="1"/>
    </xf>
    <xf numFmtId="0" fontId="30" fillId="3" borderId="3" xfId="0" applyFont="1" applyFill="1" applyBorder="1" applyAlignment="1">
      <alignment horizontal="left" vertical="center" wrapText="1"/>
    </xf>
    <xf numFmtId="0" fontId="3" fillId="0" borderId="3" xfId="0" applyFont="1" applyBorder="1">
      <alignment vertical="center"/>
    </xf>
    <xf numFmtId="0" fontId="3" fillId="2" borderId="3" xfId="0" applyFont="1" applyFill="1" applyBorder="1" applyAlignment="1">
      <alignment horizontal="left" vertical="center" wrapText="1"/>
    </xf>
    <xf numFmtId="0" fontId="8" fillId="0" borderId="3" xfId="0" applyFont="1" applyBorder="1" applyAlignment="1">
      <alignment vertical="center" wrapText="1"/>
    </xf>
    <xf numFmtId="0" fontId="4" fillId="0" borderId="3" xfId="0" applyFont="1" applyBorder="1">
      <alignment vertical="center"/>
    </xf>
    <xf numFmtId="0" fontId="0" fillId="0" borderId="3" xfId="0" applyBorder="1" applyAlignment="1">
      <alignment horizontal="center" vertical="center"/>
    </xf>
    <xf numFmtId="0" fontId="3" fillId="0" borderId="3" xfId="0" applyFont="1" applyFill="1" applyBorder="1" applyAlignment="1">
      <alignment horizontal="left" vertical="center" wrapText="1"/>
    </xf>
    <xf numFmtId="0" fontId="31" fillId="2" borderId="3" xfId="0" applyFont="1" applyFill="1" applyBorder="1" applyAlignment="1">
      <alignment horizontal="left" vertical="center" wrapText="1"/>
    </xf>
    <xf numFmtId="0" fontId="32" fillId="4" borderId="3" xfId="0" applyFont="1" applyFill="1" applyBorder="1" applyAlignment="1">
      <alignment horizontal="center" vertical="center" wrapText="1"/>
    </xf>
    <xf numFmtId="0" fontId="30" fillId="4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microsoft.com/office/2006/relationships/vbaProject" Target="vbaProject.bin"/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s://codepen.io/afc163/pen/JJVXzG?editors=001" TargetMode="External"/><Relationship Id="rId8" Type="http://schemas.openxmlformats.org/officeDocument/2006/relationships/hyperlink" Target="https://github.com/react-component/form" TargetMode="External"/><Relationship Id="rId7" Type="http://schemas.openxmlformats.org/officeDocument/2006/relationships/hyperlink" Target="https://github.com/react-component/form/pull/48" TargetMode="External"/><Relationship Id="rId6" Type="http://schemas.openxmlformats.org/officeDocument/2006/relationships/hyperlink" Target="https://github.com/yiminghe/dom-scroll-into-view" TargetMode="External"/><Relationship Id="rId5" Type="http://schemas.openxmlformats.org/officeDocument/2006/relationships/hyperlink" Target="https://github.com/ant-design/ant-design/issues/2985" TargetMode="External"/><Relationship Id="rId4" Type="http://schemas.openxmlformats.org/officeDocument/2006/relationships/hyperlink" Target="https://github.com/react-component/form/blob/3b9959b57ab30b41d8890ff30c79a7e7c383cad3/examples/server-validate.js" TargetMode="External"/><Relationship Id="rId3" Type="http://schemas.openxmlformats.org/officeDocument/2006/relationships/hyperlink" Target="https://ant.design/components/grid/" TargetMode="External"/><Relationship Id="rId2" Type="http://schemas.openxmlformats.org/officeDocument/2006/relationships/hyperlink" Target="https://github.com/yiminghe/async-validator/blob/master/src/messages.js" TargetMode="External"/><Relationship Id="rId11" Type="http://schemas.openxmlformats.org/officeDocument/2006/relationships/hyperlink" Target="https://github.com/ant-design/ant-design/issues/5155" TargetMode="External"/><Relationship Id="rId10" Type="http://schemas.openxmlformats.org/officeDocument/2006/relationships/hyperlink" Target="https://github.com/yiminghe/async-validator" TargetMode="External"/><Relationship Id="rId1" Type="http://schemas.openxmlformats.org/officeDocument/2006/relationships/hyperlink" Target="https://ant.design/components/form-cn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ant-design/ant-design/issues/5155" TargetMode="External"/><Relationship Id="rId1" Type="http://schemas.openxmlformats.org/officeDocument/2006/relationships/hyperlink" Target="https://github.com/yiminghe/async-validato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ant.design/components/grid/" TargetMode="External"/><Relationship Id="rId2" Type="http://schemas.openxmlformats.org/officeDocument/2006/relationships/hyperlink" Target="https://github.com/ant-design/ant-design/issues/5155" TargetMode="External"/><Relationship Id="rId1" Type="http://schemas.openxmlformats.org/officeDocument/2006/relationships/hyperlink" Target="https://github.com/yiminghe/async-validator" TargetMode="Externa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hyperlink" Target="https://developer.mozilla.org/en-US/docs/Web/HTML/Element/input" TargetMode="External"/><Relationship Id="rId8" Type="http://schemas.openxmlformats.org/officeDocument/2006/relationships/hyperlink" Target="https://developer.mozilla.org/en-US/docs/Web/HTML/Element/button" TargetMode="External"/><Relationship Id="rId7" Type="http://schemas.openxmlformats.org/officeDocument/2006/relationships/hyperlink" Target="https://ant.design/components/slider-cn/" TargetMode="External"/><Relationship Id="rId6" Type="http://schemas.openxmlformats.org/officeDocument/2006/relationships/hyperlink" Target="https://ant.design/components/radio-cn/" TargetMode="External"/><Relationship Id="rId5" Type="http://schemas.openxmlformats.org/officeDocument/2006/relationships/hyperlink" Target="https://ant.design/components/switch-cn/" TargetMode="External"/><Relationship Id="rId4" Type="http://schemas.openxmlformats.org/officeDocument/2006/relationships/hyperlink" Target="https://ant.design/components/input-number-cn/" TargetMode="External"/><Relationship Id="rId3" Type="http://schemas.openxmlformats.org/officeDocument/2006/relationships/hyperlink" Target="https://ant.design/components/select-cn/" TargetMode="External"/><Relationship Id="rId2" Type="http://schemas.openxmlformats.org/officeDocument/2006/relationships/hyperlink" Target="https://codesandbox.io/s/4j168r7jw0" TargetMode="External"/><Relationship Id="rId12" Type="http://schemas.openxmlformats.org/officeDocument/2006/relationships/hyperlink" Target="https://ant.design/components/rate-cn/" TargetMode="External"/><Relationship Id="rId11" Type="http://schemas.openxmlformats.org/officeDocument/2006/relationships/hyperlink" Target="https://ant.design/components/upload-cn/" TargetMode="External"/><Relationship Id="rId10" Type="http://schemas.openxmlformats.org/officeDocument/2006/relationships/hyperlink" Target="https://github.com/ant-design/ant-design/issues/2423" TargetMode="External"/><Relationship Id="rId1" Type="http://schemas.openxmlformats.org/officeDocument/2006/relationships/hyperlink" Target="https://developer.mozilla.org/zh-CN/docs/Web/HTML/Element/input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codesandbox.io/s/4j168r7jw0" TargetMode="External"/><Relationship Id="rId1" Type="http://schemas.openxmlformats.org/officeDocument/2006/relationships/hyperlink" Target="https://ant.design/components/select-cn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developer.mozilla.org/en-US/docs/Web/HTML/Element/textarea" TargetMode="External"/><Relationship Id="rId2" Type="http://schemas.openxmlformats.org/officeDocument/2006/relationships/hyperlink" Target="https://developer.mozilla.org/zh-CN/docs/Web/HTML/Element/input" TargetMode="External"/><Relationship Id="rId1" Type="http://schemas.openxmlformats.org/officeDocument/2006/relationships/hyperlink" Target="https://ant.design/components/input-cn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input-number-cn/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switch-cn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radio-cn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slider-cn/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developer.mozilla.org/en-US/docs/Web/HTML/Element/button" TargetMode="External"/><Relationship Id="rId1" Type="http://schemas.openxmlformats.org/officeDocument/2006/relationships/hyperlink" Target="https://ant.design/components/button-cn/" TargetMode="External"/></Relationships>
</file>

<file path=xl/worksheets/_rels/sheet14.xml.rels><?xml version="1.0" encoding="UTF-8" standalone="yes"?>
<Relationships xmlns="http://schemas.openxmlformats.org/package/2006/relationships"><Relationship Id="rId4" Type="http://schemas.openxmlformats.org/officeDocument/2006/relationships/hyperlink" Target="https://github.com/ant-design/ant-design/issues/2423" TargetMode="External"/><Relationship Id="rId3" Type="http://schemas.openxmlformats.org/officeDocument/2006/relationships/hyperlink" Target="https://developer.mozilla.org/en-US/docs/Web/HTML/Element/input" TargetMode="External"/><Relationship Id="rId2" Type="http://schemas.openxmlformats.org/officeDocument/2006/relationships/hyperlink" Target="https://github.com/blueimp/jQuery-File-Upload/wiki" TargetMode="External"/><Relationship Id="rId1" Type="http://schemas.openxmlformats.org/officeDocument/2006/relationships/hyperlink" Target="https://ant.design/components/upload-cn/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rate-c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1"/>
  <sheetViews>
    <sheetView topLeftCell="A16" workbookViewId="0">
      <selection activeCell="B14" sqref="B14:B22"/>
    </sheetView>
  </sheetViews>
  <sheetFormatPr defaultColWidth="9" defaultRowHeight="24" customHeight="1"/>
  <cols>
    <col min="2" max="2" width="20.625" customWidth="1"/>
    <col min="3" max="3" width="38.75" customWidth="1"/>
    <col min="4" max="4" width="77.125" customWidth="1"/>
    <col min="5" max="5" width="33.5" customWidth="1"/>
    <col min="6" max="6" width="37.25" customWidth="1"/>
  </cols>
  <sheetData>
    <row r="1" customHeight="1" spans="1:9">
      <c r="A1" s="33" t="s">
        <v>0</v>
      </c>
      <c r="B1" s="33"/>
      <c r="C1" s="33"/>
      <c r="D1" s="33"/>
      <c r="E1" s="33"/>
      <c r="F1" s="33"/>
      <c r="G1" s="33"/>
      <c r="H1" s="33"/>
      <c r="I1" s="33"/>
    </row>
    <row r="2" customHeight="1" spans="1:9">
      <c r="A2" s="33" t="s">
        <v>1</v>
      </c>
      <c r="B2" s="33"/>
      <c r="C2" s="33"/>
      <c r="D2" s="33"/>
      <c r="E2" s="33"/>
      <c r="F2" s="33"/>
      <c r="G2" s="33"/>
      <c r="H2" s="33"/>
      <c r="I2" s="33"/>
    </row>
    <row r="3" customHeight="1" spans="1:9">
      <c r="A3" s="33"/>
      <c r="B3" s="50" t="s">
        <v>2</v>
      </c>
      <c r="C3" s="33"/>
      <c r="D3" s="33"/>
      <c r="E3" s="33"/>
      <c r="F3" s="33"/>
      <c r="G3" s="33"/>
      <c r="H3" s="33"/>
      <c r="I3" s="33"/>
    </row>
    <row r="4" customHeight="1" spans="1:9">
      <c r="A4" s="33"/>
      <c r="B4" s="33"/>
      <c r="C4" s="51" t="s">
        <v>3</v>
      </c>
      <c r="D4" s="35" t="s">
        <v>4</v>
      </c>
      <c r="E4" s="36" t="s">
        <v>5</v>
      </c>
      <c r="F4" s="36" t="b">
        <v>0</v>
      </c>
      <c r="G4" s="33"/>
      <c r="H4" s="33"/>
      <c r="I4" s="33"/>
    </row>
    <row r="5" customHeight="1" spans="1:9">
      <c r="A5" s="33"/>
      <c r="B5" s="33"/>
      <c r="C5" s="51" t="s">
        <v>6</v>
      </c>
      <c r="D5" s="35" t="s">
        <v>7</v>
      </c>
      <c r="E5" s="36" t="s">
        <v>8</v>
      </c>
      <c r="F5" s="36" t="s">
        <v>9</v>
      </c>
      <c r="G5" s="33"/>
      <c r="H5" s="33"/>
      <c r="I5" s="33"/>
    </row>
    <row r="6" customHeight="1" spans="1:9">
      <c r="A6" s="33"/>
      <c r="B6" s="33"/>
      <c r="C6" s="52" t="s">
        <v>10</v>
      </c>
      <c r="D6" s="35" t="s">
        <v>11</v>
      </c>
      <c r="E6" s="36" t="s">
        <v>12</v>
      </c>
      <c r="F6" s="41"/>
      <c r="G6" s="33"/>
      <c r="H6" s="33"/>
      <c r="I6" s="33"/>
    </row>
    <row r="7" customHeight="1" spans="1:9">
      <c r="A7" s="33"/>
      <c r="B7" s="53" t="s">
        <v>13</v>
      </c>
      <c r="C7" s="33"/>
      <c r="D7" s="33"/>
      <c r="E7" s="33"/>
      <c r="F7" s="33"/>
      <c r="G7" s="33"/>
      <c r="H7" s="33"/>
      <c r="I7" s="33"/>
    </row>
    <row r="8" ht="29" customHeight="1" spans="1:9">
      <c r="A8" s="33"/>
      <c r="B8" s="33"/>
      <c r="C8" s="54" t="s">
        <v>14</v>
      </c>
      <c r="D8" s="35" t="s">
        <v>15</v>
      </c>
      <c r="E8" s="36" t="s">
        <v>16</v>
      </c>
      <c r="F8" s="33"/>
      <c r="G8" s="33"/>
      <c r="H8" s="33"/>
      <c r="I8" s="33"/>
    </row>
    <row r="9" ht="39" customHeight="1" spans="1:9">
      <c r="A9" s="33"/>
      <c r="B9" s="33"/>
      <c r="C9" s="54" t="s">
        <v>17</v>
      </c>
      <c r="D9" s="35" t="s">
        <v>18</v>
      </c>
      <c r="E9" s="36" t="s">
        <v>19</v>
      </c>
      <c r="F9" s="33"/>
      <c r="G9" s="33"/>
      <c r="H9" s="33"/>
      <c r="I9" s="33"/>
    </row>
    <row r="10" customHeight="1" spans="1:9">
      <c r="A10" s="33"/>
      <c r="B10" s="33"/>
      <c r="C10" s="54" t="s">
        <v>20</v>
      </c>
      <c r="D10" s="35" t="s">
        <v>21</v>
      </c>
      <c r="E10" s="36" t="s">
        <v>22</v>
      </c>
      <c r="F10" s="33"/>
      <c r="G10" s="33"/>
      <c r="H10" s="33"/>
      <c r="I10" s="33"/>
    </row>
    <row r="11" customHeight="1" spans="1:9">
      <c r="A11" s="33"/>
      <c r="B11" s="33"/>
      <c r="C11" s="54" t="s">
        <v>23</v>
      </c>
      <c r="D11" s="35" t="s">
        <v>24</v>
      </c>
      <c r="E11" s="36" t="s">
        <v>25</v>
      </c>
      <c r="F11" s="33"/>
      <c r="G11" s="33"/>
      <c r="H11" s="33"/>
      <c r="I11" s="33"/>
    </row>
    <row r="12" customHeight="1" spans="1:9">
      <c r="A12" s="33"/>
      <c r="B12" s="55" t="s">
        <v>26</v>
      </c>
      <c r="C12" s="56" t="s">
        <v>27</v>
      </c>
      <c r="D12" s="33"/>
      <c r="E12" s="33"/>
      <c r="F12" s="33"/>
      <c r="G12" s="33"/>
      <c r="H12" s="33"/>
      <c r="I12" s="33"/>
    </row>
    <row r="13" customHeight="1" spans="1:9">
      <c r="A13" s="33"/>
      <c r="B13" s="55" t="s">
        <v>28</v>
      </c>
      <c r="C13" s="33"/>
      <c r="D13" s="33"/>
      <c r="E13" s="33"/>
      <c r="F13" s="33"/>
      <c r="G13" s="33"/>
      <c r="H13" s="33"/>
      <c r="I13" s="33"/>
    </row>
    <row r="14" customHeight="1" spans="1:9">
      <c r="A14" s="33"/>
      <c r="B14" s="57" t="s">
        <v>28</v>
      </c>
      <c r="C14" s="34" t="s">
        <v>29</v>
      </c>
      <c r="D14" s="35" t="s">
        <v>30</v>
      </c>
      <c r="E14" s="36" t="s">
        <v>31</v>
      </c>
      <c r="F14" s="36" t="b">
        <v>1</v>
      </c>
      <c r="G14" s="33"/>
      <c r="H14" s="33"/>
      <c r="I14" s="33"/>
    </row>
    <row r="15" customHeight="1" spans="1:9">
      <c r="A15" s="33"/>
      <c r="B15" s="57"/>
      <c r="C15" s="34" t="s">
        <v>32</v>
      </c>
      <c r="D15" s="35" t="s">
        <v>33</v>
      </c>
      <c r="E15" s="36" t="s">
        <v>34</v>
      </c>
      <c r="F15" s="36"/>
      <c r="G15" s="33"/>
      <c r="H15" s="33"/>
      <c r="I15" s="33"/>
    </row>
    <row r="16" customHeight="1" spans="1:9">
      <c r="A16" s="33"/>
      <c r="B16" s="57"/>
      <c r="C16" s="54" t="s">
        <v>35</v>
      </c>
      <c r="D16" s="35" t="s">
        <v>36</v>
      </c>
      <c r="E16" s="36" t="s">
        <v>31</v>
      </c>
      <c r="F16" s="36" t="b">
        <v>0</v>
      </c>
      <c r="G16" s="33"/>
      <c r="H16" s="33"/>
      <c r="I16" s="33"/>
    </row>
    <row r="17" customHeight="1" spans="1:9">
      <c r="A17" s="33"/>
      <c r="B17" s="57"/>
      <c r="C17" s="58" t="s">
        <v>37</v>
      </c>
      <c r="D17" s="59" t="s">
        <v>38</v>
      </c>
      <c r="E17" s="36" t="s">
        <v>34</v>
      </c>
      <c r="F17" s="36"/>
      <c r="G17" s="33"/>
      <c r="H17" s="33"/>
      <c r="I17" s="33"/>
    </row>
    <row r="18" customHeight="1" spans="1:9">
      <c r="A18" s="33"/>
      <c r="B18" s="57"/>
      <c r="C18" s="34" t="s">
        <v>39</v>
      </c>
      <c r="D18" s="35" t="s">
        <v>40</v>
      </c>
      <c r="E18" s="36" t="s">
        <v>34</v>
      </c>
      <c r="F18" s="36"/>
      <c r="G18" s="33"/>
      <c r="H18" s="33"/>
      <c r="I18" s="33"/>
    </row>
    <row r="19" ht="41" customHeight="1" spans="1:9">
      <c r="A19" s="33"/>
      <c r="B19" s="57"/>
      <c r="C19" s="34" t="s">
        <v>41</v>
      </c>
      <c r="D19" s="35" t="s">
        <v>42</v>
      </c>
      <c r="E19" s="39" t="s">
        <v>43</v>
      </c>
      <c r="F19" s="36"/>
      <c r="G19" s="33"/>
      <c r="H19" s="33"/>
      <c r="I19" s="33"/>
    </row>
    <row r="20" customHeight="1" spans="1:9">
      <c r="A20" s="33"/>
      <c r="B20" s="57"/>
      <c r="C20" s="54" t="s">
        <v>44</v>
      </c>
      <c r="D20" s="59" t="s">
        <v>45</v>
      </c>
      <c r="E20" s="36" t="s">
        <v>31</v>
      </c>
      <c r="F20" s="36" t="b">
        <v>0</v>
      </c>
      <c r="G20" s="33"/>
      <c r="H20" s="33"/>
      <c r="I20" s="33"/>
    </row>
    <row r="21" customHeight="1" spans="1:9">
      <c r="A21" s="33"/>
      <c r="B21" s="57"/>
      <c r="C21" s="54" t="s">
        <v>46</v>
      </c>
      <c r="D21" s="59" t="s">
        <v>47</v>
      </c>
      <c r="E21" s="36" t="s">
        <v>48</v>
      </c>
      <c r="F21" s="36"/>
      <c r="G21" s="33"/>
      <c r="H21" s="33"/>
      <c r="I21" s="33"/>
    </row>
    <row r="22" customHeight="1" spans="1:9">
      <c r="A22" s="33"/>
      <c r="B22" s="57"/>
      <c r="C22" s="34" t="s">
        <v>49</v>
      </c>
      <c r="D22" s="40" t="s">
        <v>50</v>
      </c>
      <c r="E22" s="39" t="s">
        <v>43</v>
      </c>
      <c r="F22" s="41"/>
      <c r="G22" s="33"/>
      <c r="H22" s="33"/>
      <c r="I22" s="33"/>
    </row>
    <row r="23" customHeight="1" spans="1:9">
      <c r="A23" s="33"/>
      <c r="B23" s="33"/>
      <c r="C23" s="42" t="s">
        <v>51</v>
      </c>
      <c r="D23" s="33" t="s">
        <v>52</v>
      </c>
      <c r="E23" s="33"/>
      <c r="F23" s="33"/>
      <c r="G23" s="33"/>
      <c r="H23" s="33"/>
      <c r="I23" s="33"/>
    </row>
    <row r="24" customFormat="1" customHeight="1" spans="1:9">
      <c r="A24" s="33"/>
      <c r="B24" s="33"/>
      <c r="C24" s="34" t="s">
        <v>53</v>
      </c>
      <c r="D24" s="33" t="s">
        <v>54</v>
      </c>
      <c r="E24" s="33"/>
      <c r="F24" s="33"/>
      <c r="G24" s="33"/>
      <c r="H24" s="33"/>
      <c r="I24" s="33"/>
    </row>
    <row r="25" customFormat="1" ht="38" customHeight="1" spans="1:9">
      <c r="A25" s="33"/>
      <c r="B25" s="33"/>
      <c r="C25" s="57" t="s">
        <v>53</v>
      </c>
      <c r="D25" s="51" t="s">
        <v>53</v>
      </c>
      <c r="E25" s="40" t="s">
        <v>55</v>
      </c>
      <c r="F25" s="36"/>
      <c r="G25" s="33"/>
      <c r="H25" s="33"/>
      <c r="I25" s="33"/>
    </row>
    <row r="26" customFormat="1" customHeight="1" spans="1:9">
      <c r="A26" s="33"/>
      <c r="B26" s="33"/>
      <c r="C26" s="57"/>
      <c r="D26" s="60" t="s">
        <v>53</v>
      </c>
      <c r="E26" s="34" t="s">
        <v>56</v>
      </c>
      <c r="F26" s="35" t="s">
        <v>57</v>
      </c>
      <c r="G26" s="36" t="s">
        <v>48</v>
      </c>
      <c r="H26" s="36"/>
      <c r="I26" s="33"/>
    </row>
    <row r="27" customFormat="1" customHeight="1" spans="1:9">
      <c r="A27" s="33"/>
      <c r="B27" s="33"/>
      <c r="C27" s="57"/>
      <c r="D27" s="60"/>
      <c r="E27" s="54" t="s">
        <v>58</v>
      </c>
      <c r="F27" s="35" t="s">
        <v>59</v>
      </c>
      <c r="G27" s="36" t="s">
        <v>60</v>
      </c>
      <c r="H27" s="39" t="s">
        <v>61</v>
      </c>
      <c r="I27" s="33"/>
    </row>
    <row r="28" customFormat="1" customHeight="1" spans="1:9">
      <c r="A28" s="33"/>
      <c r="B28" s="33"/>
      <c r="C28" s="57"/>
      <c r="D28" s="60"/>
      <c r="E28" s="54" t="s">
        <v>62</v>
      </c>
      <c r="F28" s="35" t="s">
        <v>63</v>
      </c>
      <c r="G28" s="36"/>
      <c r="H28" s="36"/>
      <c r="I28" s="33"/>
    </row>
    <row r="29" customFormat="1" customHeight="1" spans="1:9">
      <c r="A29" s="33"/>
      <c r="B29" s="33"/>
      <c r="C29" s="57"/>
      <c r="D29" s="60"/>
      <c r="E29" s="54" t="s">
        <v>64</v>
      </c>
      <c r="F29" s="35" t="s">
        <v>65</v>
      </c>
      <c r="G29" s="36" t="s">
        <v>66</v>
      </c>
      <c r="H29" s="36" t="s">
        <v>67</v>
      </c>
      <c r="I29" s="33"/>
    </row>
    <row r="30" customFormat="1" customHeight="1" spans="1:9">
      <c r="A30" s="33"/>
      <c r="B30" s="33"/>
      <c r="C30" s="57"/>
      <c r="D30" s="60"/>
      <c r="E30" s="54" t="s">
        <v>68</v>
      </c>
      <c r="F30" s="40" t="s">
        <v>69</v>
      </c>
      <c r="G30" s="36" t="s">
        <v>70</v>
      </c>
      <c r="H30" s="36"/>
      <c r="I30" s="33"/>
    </row>
    <row r="31" customFormat="1" customHeight="1" spans="1:9">
      <c r="A31" s="33"/>
      <c r="B31" s="33"/>
      <c r="C31" s="57"/>
      <c r="D31" s="60"/>
      <c r="E31" s="61" t="s">
        <v>68</v>
      </c>
      <c r="F31" s="34" t="s">
        <v>71</v>
      </c>
      <c r="G31" s="35" t="s">
        <v>72</v>
      </c>
      <c r="H31" s="36" t="s">
        <v>48</v>
      </c>
      <c r="I31" s="36" t="s">
        <v>67</v>
      </c>
    </row>
    <row r="32" customFormat="1" customHeight="1" spans="1:9">
      <c r="A32" s="33"/>
      <c r="B32" s="33"/>
      <c r="C32" s="57"/>
      <c r="D32" s="60"/>
      <c r="E32" s="61"/>
      <c r="F32" s="34" t="s">
        <v>73</v>
      </c>
      <c r="G32" s="35" t="s">
        <v>74</v>
      </c>
      <c r="H32" s="36" t="s">
        <v>75</v>
      </c>
      <c r="I32" s="36" t="s">
        <v>67</v>
      </c>
    </row>
    <row r="33" customFormat="1" customHeight="1" spans="1:9">
      <c r="A33" s="33"/>
      <c r="B33" s="33"/>
      <c r="C33" s="57"/>
      <c r="D33" s="60"/>
      <c r="E33" s="61"/>
      <c r="F33" s="34" t="s">
        <v>76</v>
      </c>
      <c r="G33" s="35" t="s">
        <v>77</v>
      </c>
      <c r="H33" s="36" t="s">
        <v>75</v>
      </c>
      <c r="I33" s="36" t="s">
        <v>67</v>
      </c>
    </row>
    <row r="34" customFormat="1" customHeight="1" spans="1:9">
      <c r="A34" s="33"/>
      <c r="B34" s="33"/>
      <c r="C34" s="57"/>
      <c r="D34" s="60"/>
      <c r="E34" s="61"/>
      <c r="F34" s="34" t="s">
        <v>78</v>
      </c>
      <c r="G34" s="37" t="s">
        <v>79</v>
      </c>
      <c r="H34" s="36" t="s">
        <v>48</v>
      </c>
      <c r="I34" s="36" t="s">
        <v>67</v>
      </c>
    </row>
    <row r="35" customFormat="1" customHeight="1" spans="1:9">
      <c r="A35" s="33"/>
      <c r="B35" s="33"/>
      <c r="C35" s="57"/>
      <c r="D35" s="60"/>
      <c r="E35" s="61"/>
      <c r="F35" s="34" t="s">
        <v>80</v>
      </c>
      <c r="G35" s="35" t="s">
        <v>81</v>
      </c>
      <c r="H35" s="36" t="s">
        <v>75</v>
      </c>
      <c r="I35" s="36" t="s">
        <v>67</v>
      </c>
    </row>
    <row r="36" customFormat="1" customHeight="1" spans="1:9">
      <c r="A36" s="33"/>
      <c r="B36" s="33"/>
      <c r="C36" s="57"/>
      <c r="D36" s="60"/>
      <c r="E36" s="61"/>
      <c r="F36" s="34" t="s">
        <v>82</v>
      </c>
      <c r="G36" s="35" t="s">
        <v>83</v>
      </c>
      <c r="H36" s="36" t="s">
        <v>84</v>
      </c>
      <c r="I36" s="36" t="s">
        <v>67</v>
      </c>
    </row>
    <row r="37" customFormat="1" customHeight="1" spans="1:9">
      <c r="A37" s="33"/>
      <c r="B37" s="33"/>
      <c r="C37" s="57"/>
      <c r="D37" s="60"/>
      <c r="E37" s="61"/>
      <c r="F37" s="34" t="s">
        <v>44</v>
      </c>
      <c r="G37" s="35" t="s">
        <v>85</v>
      </c>
      <c r="H37" s="36" t="s">
        <v>31</v>
      </c>
      <c r="I37" s="38" t="b">
        <v>0</v>
      </c>
    </row>
    <row r="38" customFormat="1" customHeight="1" spans="1:9">
      <c r="A38" s="33"/>
      <c r="B38" s="33"/>
      <c r="C38" s="57"/>
      <c r="D38" s="60"/>
      <c r="E38" s="61"/>
      <c r="F38" s="34" t="s">
        <v>86</v>
      </c>
      <c r="G38" s="37" t="s">
        <v>87</v>
      </c>
      <c r="H38" s="36" t="s">
        <v>88</v>
      </c>
      <c r="I38" s="36" t="s">
        <v>67</v>
      </c>
    </row>
    <row r="39" customFormat="1" customHeight="1" spans="1:9">
      <c r="A39" s="33"/>
      <c r="B39" s="33"/>
      <c r="C39" s="57"/>
      <c r="D39" s="60"/>
      <c r="E39" s="61"/>
      <c r="F39" s="34" t="s">
        <v>51</v>
      </c>
      <c r="G39" s="35" t="s">
        <v>89</v>
      </c>
      <c r="H39" s="36" t="s">
        <v>48</v>
      </c>
      <c r="I39" s="36" t="s">
        <v>90</v>
      </c>
    </row>
    <row r="40" customFormat="1" customHeight="1" spans="1:9">
      <c r="A40" s="33"/>
      <c r="B40" s="33"/>
      <c r="C40" s="57"/>
      <c r="D40" s="60"/>
      <c r="E40" s="61"/>
      <c r="F40" s="34" t="s">
        <v>91</v>
      </c>
      <c r="G40" s="35" t="s">
        <v>92</v>
      </c>
      <c r="H40" s="36" t="s">
        <v>93</v>
      </c>
      <c r="I40" s="36" t="s">
        <v>67</v>
      </c>
    </row>
    <row r="41" customFormat="1" customHeight="1" spans="1:9">
      <c r="A41" s="33"/>
      <c r="B41" s="33"/>
      <c r="C41" s="57"/>
      <c r="D41" s="60"/>
      <c r="E41" s="61"/>
      <c r="F41" s="34" t="s">
        <v>94</v>
      </c>
      <c r="G41" s="35" t="s">
        <v>95</v>
      </c>
      <c r="H41" s="36" t="s">
        <v>31</v>
      </c>
      <c r="I41" s="38" t="b">
        <v>0</v>
      </c>
    </row>
    <row r="42" customFormat="1" customHeight="1" spans="1:9">
      <c r="A42" s="33"/>
      <c r="B42" s="33"/>
      <c r="C42" s="57"/>
      <c r="D42" s="60"/>
      <c r="E42" s="54" t="s">
        <v>96</v>
      </c>
      <c r="F42" s="35" t="s">
        <v>97</v>
      </c>
      <c r="G42" s="36" t="s">
        <v>48</v>
      </c>
      <c r="H42" s="36" t="s">
        <v>98</v>
      </c>
      <c r="I42" s="33"/>
    </row>
    <row r="43" customFormat="1" customHeight="1" spans="1:9">
      <c r="A43" s="33"/>
      <c r="B43" s="33"/>
      <c r="C43" s="57"/>
      <c r="D43" s="60"/>
      <c r="E43" s="54" t="s">
        <v>99</v>
      </c>
      <c r="F43" s="35" t="s">
        <v>100</v>
      </c>
      <c r="G43" s="36" t="s">
        <v>31</v>
      </c>
      <c r="H43" s="36" t="b">
        <v>0</v>
      </c>
      <c r="I43" s="33"/>
    </row>
    <row r="44" customFormat="1" customHeight="1" spans="1:9">
      <c r="A44" s="33"/>
      <c r="B44" s="33"/>
      <c r="C44" s="57"/>
      <c r="D44" s="60"/>
      <c r="E44" s="54" t="s">
        <v>101</v>
      </c>
      <c r="F44" s="35" t="s">
        <v>102</v>
      </c>
      <c r="G44" s="36" t="s">
        <v>103</v>
      </c>
      <c r="H44" s="36" t="s">
        <v>98</v>
      </c>
      <c r="I44" s="33"/>
    </row>
    <row r="45" customFormat="1" customHeight="1" spans="1:9">
      <c r="A45" s="33"/>
      <c r="B45" s="33"/>
      <c r="C45" s="57"/>
      <c r="D45" s="60"/>
      <c r="E45" s="54" t="s">
        <v>104</v>
      </c>
      <c r="F45" s="35" t="s">
        <v>105</v>
      </c>
      <c r="G45" s="36" t="s">
        <v>48</v>
      </c>
      <c r="H45" s="36" t="s">
        <v>106</v>
      </c>
      <c r="I45" s="33"/>
    </row>
    <row r="46" customFormat="1" customHeight="1" spans="1:9">
      <c r="A46" s="33"/>
      <c r="B46" s="33"/>
      <c r="C46" s="57"/>
      <c r="D46" s="54" t="s">
        <v>107</v>
      </c>
      <c r="E46" s="35" t="s">
        <v>108</v>
      </c>
      <c r="F46" s="36" t="s">
        <v>109</v>
      </c>
      <c r="G46" s="33"/>
      <c r="H46" s="33"/>
      <c r="I46" s="33"/>
    </row>
    <row r="47" customFormat="1" customHeight="1" spans="1:9">
      <c r="A47" s="33"/>
      <c r="B47" s="33"/>
      <c r="C47" s="57"/>
      <c r="D47" s="54" t="s">
        <v>110</v>
      </c>
      <c r="E47" s="35" t="s">
        <v>111</v>
      </c>
      <c r="F47" s="36" t="s">
        <v>112</v>
      </c>
      <c r="G47" s="33"/>
      <c r="H47" s="33"/>
      <c r="I47" s="33"/>
    </row>
    <row r="48" customFormat="1" customHeight="1" spans="1:9">
      <c r="A48" s="33"/>
      <c r="B48" s="33"/>
      <c r="C48" s="57"/>
      <c r="D48" s="54" t="s">
        <v>113</v>
      </c>
      <c r="E48" s="35" t="s">
        <v>114</v>
      </c>
      <c r="F48" s="36" t="s">
        <v>115</v>
      </c>
      <c r="G48" s="33"/>
      <c r="H48" s="33"/>
      <c r="I48" s="33"/>
    </row>
    <row r="49" customFormat="1" customHeight="1" spans="1:9">
      <c r="A49" s="33"/>
      <c r="B49" s="33"/>
      <c r="C49" s="57"/>
      <c r="D49" s="54" t="s">
        <v>116</v>
      </c>
      <c r="E49" s="35" t="s">
        <v>117</v>
      </c>
      <c r="F49" s="36" t="s">
        <v>118</v>
      </c>
      <c r="G49" s="33"/>
      <c r="H49" s="33"/>
      <c r="I49" s="33"/>
    </row>
    <row r="50" customFormat="1" customHeight="1" spans="1:9">
      <c r="A50" s="33"/>
      <c r="B50" s="33"/>
      <c r="C50" s="57"/>
      <c r="D50" s="54" t="s">
        <v>119</v>
      </c>
      <c r="E50" s="35" t="s">
        <v>120</v>
      </c>
      <c r="F50" s="36" t="s">
        <v>121</v>
      </c>
      <c r="G50" s="33"/>
      <c r="H50" s="33"/>
      <c r="I50" s="33"/>
    </row>
    <row r="51" customFormat="1" customHeight="1" spans="1:9">
      <c r="A51" s="33"/>
      <c r="B51" s="33"/>
      <c r="C51" s="57"/>
      <c r="D51" s="54" t="s">
        <v>122</v>
      </c>
      <c r="E51" s="35" t="s">
        <v>123</v>
      </c>
      <c r="F51" s="36" t="s">
        <v>124</v>
      </c>
      <c r="G51" s="33"/>
      <c r="H51" s="33"/>
      <c r="I51" s="33"/>
    </row>
    <row r="52" customFormat="1" customHeight="1" spans="1:9">
      <c r="A52" s="33"/>
      <c r="B52" s="33"/>
      <c r="C52" s="57"/>
      <c r="D52" s="54" t="s">
        <v>125</v>
      </c>
      <c r="E52" s="35" t="s">
        <v>126</v>
      </c>
      <c r="F52" s="36" t="s">
        <v>109</v>
      </c>
      <c r="G52" s="33"/>
      <c r="H52" s="33"/>
      <c r="I52" s="33"/>
    </row>
    <row r="53" customFormat="1" customHeight="1" spans="1:9">
      <c r="A53" s="33"/>
      <c r="B53" s="33"/>
      <c r="C53" s="57"/>
      <c r="D53" s="54" t="s">
        <v>127</v>
      </c>
      <c r="E53" s="35" t="s">
        <v>128</v>
      </c>
      <c r="F53" s="36" t="s">
        <v>112</v>
      </c>
      <c r="G53" s="33"/>
      <c r="H53" s="33"/>
      <c r="I53" s="33"/>
    </row>
    <row r="54" customFormat="1" customHeight="1" spans="1:9">
      <c r="A54" s="33"/>
      <c r="B54" s="33"/>
      <c r="C54" s="57"/>
      <c r="D54" s="54" t="s">
        <v>129</v>
      </c>
      <c r="E54" s="35" t="s">
        <v>130</v>
      </c>
      <c r="F54" s="36" t="s">
        <v>131</v>
      </c>
      <c r="G54" s="33"/>
      <c r="H54" s="33"/>
      <c r="I54" s="33"/>
    </row>
    <row r="55" customFormat="1" customHeight="1" spans="1:9">
      <c r="A55" s="33"/>
      <c r="B55" s="33"/>
      <c r="C55" s="57"/>
      <c r="D55" s="54" t="s">
        <v>132</v>
      </c>
      <c r="E55" s="35" t="s">
        <v>133</v>
      </c>
      <c r="F55" s="36" t="s">
        <v>134</v>
      </c>
      <c r="G55" s="33"/>
      <c r="H55" s="33"/>
      <c r="I55" s="33"/>
    </row>
    <row r="56" customFormat="1" customHeight="1" spans="1:9">
      <c r="A56" s="33"/>
      <c r="B56" s="33"/>
      <c r="C56" s="57"/>
      <c r="D56" s="54" t="s">
        <v>135</v>
      </c>
      <c r="E56" s="35" t="s">
        <v>136</v>
      </c>
      <c r="F56" s="36" t="s">
        <v>137</v>
      </c>
      <c r="G56" s="33"/>
      <c r="H56" s="33"/>
      <c r="I56" s="33"/>
    </row>
    <row r="57" customFormat="1" customHeight="1" spans="1:9">
      <c r="A57" s="33"/>
      <c r="B57" s="33"/>
      <c r="C57" s="57"/>
      <c r="D57" s="54" t="s">
        <v>138</v>
      </c>
      <c r="E57" s="35" t="s">
        <v>139</v>
      </c>
      <c r="F57" s="36" t="s">
        <v>140</v>
      </c>
      <c r="G57" s="33"/>
      <c r="H57" s="33"/>
      <c r="I57" s="33"/>
    </row>
    <row r="58" customFormat="1" customHeight="1" spans="1:9">
      <c r="A58" s="33"/>
      <c r="B58" s="33"/>
      <c r="C58" s="33"/>
      <c r="D58" s="62" t="s">
        <v>141</v>
      </c>
      <c r="E58" s="54" t="s">
        <v>142</v>
      </c>
      <c r="F58" s="35" t="s">
        <v>143</v>
      </c>
      <c r="G58" s="36" t="s">
        <v>31</v>
      </c>
      <c r="H58" s="36" t="b">
        <v>0</v>
      </c>
      <c r="I58" s="33"/>
    </row>
    <row r="59" customFormat="1" customHeight="1" spans="1:9">
      <c r="A59" s="33"/>
      <c r="B59" s="33"/>
      <c r="C59" s="33"/>
      <c r="D59" s="57"/>
      <c r="E59" s="54" t="s">
        <v>144</v>
      </c>
      <c r="F59" s="35" t="s">
        <v>145</v>
      </c>
      <c r="G59" s="36" t="s">
        <v>146</v>
      </c>
      <c r="H59" s="36" t="s">
        <v>147</v>
      </c>
      <c r="I59" s="33"/>
    </row>
    <row r="60" customFormat="1" ht="36" customHeight="1" spans="1:9">
      <c r="A60" s="33"/>
      <c r="B60" s="33"/>
      <c r="C60" s="33"/>
      <c r="D60" s="57"/>
      <c r="E60" s="54" t="s">
        <v>148</v>
      </c>
      <c r="F60" s="40" t="s">
        <v>149</v>
      </c>
      <c r="G60" s="36" t="s">
        <v>31</v>
      </c>
      <c r="H60" s="36" t="b">
        <v>0</v>
      </c>
      <c r="I60" s="33"/>
    </row>
    <row r="61" customFormat="1" ht="36" customHeight="1" spans="1:9">
      <c r="A61" s="33"/>
      <c r="B61" s="33"/>
      <c r="C61" s="33"/>
      <c r="D61" s="57"/>
      <c r="E61" s="54" t="s">
        <v>150</v>
      </c>
      <c r="F61" s="35" t="s">
        <v>151</v>
      </c>
      <c r="G61" s="36" t="s">
        <v>152</v>
      </c>
      <c r="H61" s="36" t="s">
        <v>153</v>
      </c>
      <c r="I61" s="33"/>
    </row>
  </sheetData>
  <mergeCells count="5">
    <mergeCell ref="B14:B22"/>
    <mergeCell ref="C25:C57"/>
    <mergeCell ref="D26:D45"/>
    <mergeCell ref="D58:D61"/>
    <mergeCell ref="E31:E41"/>
  </mergeCells>
  <hyperlinks>
    <hyperlink ref="D8" r:id="rId1" display="把父组件的属性映射到表单项上（如：把 Redux store 中的值读出），需要对返回值中的表单域数据用 Form.createFormField 标记"/>
    <hyperlink ref="D9" r:id="rId2" display="默认校验信息，可用于把默认错误信息改为中文等，格式与 newMessages 返回值一致" tooltip="https://github.com/yiminghe/async-validator/blob/master/src/messages.js"/>
    <hyperlink ref="E19" r:id="rId3" display="object"/>
    <hyperlink ref="E22" r:id="rId3" display="object"/>
    <hyperlink ref="E54" r:id="rId4" display="设置一组输入控件的值与 Error。 代码"/>
    <hyperlink ref="E55" r:id="rId5" display="设置一组输入控件的值（注意：不要在 componentWillReceiveProps 内使用，否则会导致死循环，更多）" tooltip="https://github.com/ant-design/ant-design/issues/2985"/>
    <hyperlink ref="F61" r:id="rId6" display="定义 validateFieldsAndScroll 的滚动行为，详细配置见 dom-scroll-into-view config"/>
    <hyperlink ref="F26" r:id="rId7" display="必填输入控件唯一标志。支持嵌套式的写法。" tooltip="https://github.com/react-component/form/pull/48"/>
    <hyperlink ref="H27" r:id="rId8" display="reference"/>
    <hyperlink ref="F29" r:id="rId9" display="转换默认的 value 给控件，一个选择全部的例子" tooltip="https://codepen.io/afc163/pen/JJVXzG?editors=001"/>
    <hyperlink ref="G39" r:id="rId10" display="内建校验类型，可选项"/>
    <hyperlink ref="G40" r:id="rId11" display="自定义校验（注意，callback 必须被调用）" tooltip="https://github.com/ant-design/ant-design/issues/5155"/>
  </hyperlinks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52"/>
  <sheetViews>
    <sheetView topLeftCell="A34" workbookViewId="0">
      <selection activeCell="D13" sqref="D13:D14"/>
    </sheetView>
  </sheetViews>
  <sheetFormatPr defaultColWidth="22" defaultRowHeight="15" customHeight="1"/>
  <cols>
    <col min="1" max="6" width="22" customWidth="1"/>
    <col min="7" max="7" width="27.875" customWidth="1"/>
    <col min="8" max="16384" width="22" customWidth="1"/>
  </cols>
  <sheetData>
    <row r="1" customHeight="1" spans="1:1">
      <c r="A1" t="s">
        <v>154</v>
      </c>
    </row>
    <row r="2" customHeight="1" spans="1:1">
      <c r="A2" t="s">
        <v>155</v>
      </c>
    </row>
    <row r="3" customHeight="1" spans="1:2">
      <c r="A3" t="s">
        <v>1</v>
      </c>
      <c r="B3" t="s">
        <v>156</v>
      </c>
    </row>
    <row r="4" customHeight="1" spans="2:3">
      <c r="B4" t="s">
        <v>2</v>
      </c>
      <c r="C4" t="s">
        <v>156</v>
      </c>
    </row>
    <row r="5" customHeight="1" spans="3:4">
      <c r="C5" t="s">
        <v>3</v>
      </c>
      <c r="D5" t="s">
        <v>157</v>
      </c>
    </row>
    <row r="6" customHeight="1" spans="3:4">
      <c r="C6" t="s">
        <v>6</v>
      </c>
      <c r="D6" t="s">
        <v>157</v>
      </c>
    </row>
    <row r="7" customHeight="1" spans="3:4">
      <c r="C7" t="s">
        <v>10</v>
      </c>
      <c r="D7" t="s">
        <v>157</v>
      </c>
    </row>
    <row r="8" customHeight="1" spans="2:2">
      <c r="B8" s="45" t="s">
        <v>158</v>
      </c>
    </row>
    <row r="9" customHeight="1" spans="3:4">
      <c r="C9" t="s">
        <v>159</v>
      </c>
      <c r="D9" t="s">
        <v>156</v>
      </c>
    </row>
    <row r="10" customHeight="1" spans="4:5">
      <c r="D10" t="s">
        <v>29</v>
      </c>
      <c r="E10" t="s">
        <v>157</v>
      </c>
    </row>
    <row r="11" customHeight="1" spans="4:5">
      <c r="D11" t="s">
        <v>32</v>
      </c>
      <c r="E11" t="s">
        <v>157</v>
      </c>
    </row>
    <row r="12" customHeight="1" spans="4:5">
      <c r="D12" t="s">
        <v>39</v>
      </c>
      <c r="E12" t="s">
        <v>157</v>
      </c>
    </row>
    <row r="13" customHeight="1" spans="4:5">
      <c r="D13" t="s">
        <v>41</v>
      </c>
      <c r="E13" t="s">
        <v>157</v>
      </c>
    </row>
    <row r="14" customHeight="1" spans="4:5">
      <c r="D14" s="46" t="s">
        <v>49</v>
      </c>
      <c r="E14" s="46" t="s">
        <v>157</v>
      </c>
    </row>
    <row r="15" customHeight="1" spans="4:5">
      <c r="D15" t="s">
        <v>44</v>
      </c>
      <c r="E15" t="s">
        <v>157</v>
      </c>
    </row>
    <row r="16" customHeight="1" spans="4:6">
      <c r="D16" s="47" t="s">
        <v>51</v>
      </c>
      <c r="E16" t="s">
        <v>157</v>
      </c>
      <c r="F16" t="s">
        <v>160</v>
      </c>
    </row>
    <row r="17" customHeight="1" spans="4:6">
      <c r="D17" s="47" t="s">
        <v>161</v>
      </c>
      <c r="E17" t="s">
        <v>157</v>
      </c>
      <c r="F17" t="s">
        <v>162</v>
      </c>
    </row>
    <row r="18" customHeight="1" spans="4:5">
      <c r="D18" s="47" t="s">
        <v>56</v>
      </c>
      <c r="E18" t="s">
        <v>157</v>
      </c>
    </row>
    <row r="19" customHeight="1" spans="4:5">
      <c r="D19" t="s">
        <v>53</v>
      </c>
      <c r="E19" t="s">
        <v>156</v>
      </c>
    </row>
    <row r="20" customHeight="1" spans="5:6">
      <c r="E20" t="s">
        <v>163</v>
      </c>
      <c r="F20" t="s">
        <v>156</v>
      </c>
    </row>
    <row r="21" customHeight="1" spans="6:9">
      <c r="F21" t="s">
        <v>71</v>
      </c>
      <c r="G21" t="s">
        <v>157</v>
      </c>
      <c r="H21" s="35" t="s">
        <v>72</v>
      </c>
      <c r="I21" s="36" t="s">
        <v>67</v>
      </c>
    </row>
    <row r="22" customHeight="1" spans="6:9">
      <c r="F22" t="s">
        <v>73</v>
      </c>
      <c r="G22" t="s">
        <v>157</v>
      </c>
      <c r="H22" s="35" t="s">
        <v>74</v>
      </c>
      <c r="I22" s="36" t="s">
        <v>67</v>
      </c>
    </row>
    <row r="23" customHeight="1" spans="6:9">
      <c r="F23" t="s">
        <v>76</v>
      </c>
      <c r="G23" t="s">
        <v>157</v>
      </c>
      <c r="H23" s="35" t="s">
        <v>77</v>
      </c>
      <c r="I23" s="36" t="s">
        <v>67</v>
      </c>
    </row>
    <row r="24" customHeight="1" spans="6:9">
      <c r="F24" t="s">
        <v>78</v>
      </c>
      <c r="G24" t="s">
        <v>157</v>
      </c>
      <c r="H24" s="37" t="s">
        <v>79</v>
      </c>
      <c r="I24" s="36" t="s">
        <v>67</v>
      </c>
    </row>
    <row r="25" customHeight="1" spans="6:9">
      <c r="F25" t="s">
        <v>80</v>
      </c>
      <c r="G25" t="s">
        <v>157</v>
      </c>
      <c r="H25" s="35" t="s">
        <v>81</v>
      </c>
      <c r="I25" s="36" t="s">
        <v>67</v>
      </c>
    </row>
    <row r="26" customHeight="1" spans="1:9">
      <c r="A26" t="s">
        <v>164</v>
      </c>
      <c r="B26" s="46" t="s">
        <v>165</v>
      </c>
      <c r="C26" t="s">
        <v>166</v>
      </c>
      <c r="F26" t="s">
        <v>82</v>
      </c>
      <c r="G26" t="s">
        <v>157</v>
      </c>
      <c r="H26" s="35" t="s">
        <v>83</v>
      </c>
      <c r="I26" s="36" t="s">
        <v>67</v>
      </c>
    </row>
    <row r="27" customHeight="1" spans="1:9">
      <c r="A27" t="str">
        <f>PROPER(B27)</f>
        <v>Colon</v>
      </c>
      <c r="B27" t="s">
        <v>29</v>
      </c>
      <c r="C27" t="str">
        <f>UPPER(LEFT(B27))&amp;RIGHT(B27,LEN(B27)-1)</f>
        <v>Colon</v>
      </c>
      <c r="D27" s="48" t="s">
        <v>48</v>
      </c>
      <c r="E27" t="str">
        <f>"`json:"""&amp;B27&amp;"""`"</f>
        <v>`json:"colon"`</v>
      </c>
      <c r="F27" t="s">
        <v>44</v>
      </c>
      <c r="G27" t="s">
        <v>157</v>
      </c>
      <c r="H27" s="35" t="s">
        <v>85</v>
      </c>
      <c r="I27" s="38" t="b">
        <v>0</v>
      </c>
    </row>
    <row r="28" customHeight="1" spans="1:9">
      <c r="A28" t="str">
        <f t="shared" ref="A28:A34" si="0">PROPER(B28)</f>
        <v>Extra</v>
      </c>
      <c r="B28" t="s">
        <v>32</v>
      </c>
      <c r="C28" t="str">
        <f t="shared" ref="C28:C35" si="1">UPPER(LEFT(B28))&amp;RIGHT(B28,LEN(B28)-1)</f>
        <v>Extra</v>
      </c>
      <c r="D28" s="48" t="s">
        <v>48</v>
      </c>
      <c r="E28" t="str">
        <f t="shared" ref="E28:E35" si="2">"`json:"""&amp;B28&amp;"""`"</f>
        <v>`json:"extra"`</v>
      </c>
      <c r="F28" s="49" t="s">
        <v>86</v>
      </c>
      <c r="G28" t="s">
        <v>157</v>
      </c>
      <c r="H28" s="37" t="s">
        <v>87</v>
      </c>
      <c r="I28" s="36" t="s">
        <v>67</v>
      </c>
    </row>
    <row r="29" customHeight="1" spans="1:9">
      <c r="A29" t="str">
        <f t="shared" si="0"/>
        <v>Label</v>
      </c>
      <c r="B29" t="s">
        <v>39</v>
      </c>
      <c r="C29" t="str">
        <f t="shared" si="1"/>
        <v>Label</v>
      </c>
      <c r="D29" s="48" t="s">
        <v>48</v>
      </c>
      <c r="E29" t="str">
        <f t="shared" si="2"/>
        <v>`json:"label"`</v>
      </c>
      <c r="F29" t="s">
        <v>51</v>
      </c>
      <c r="G29" t="s">
        <v>157</v>
      </c>
      <c r="H29" s="35" t="s">
        <v>89</v>
      </c>
      <c r="I29" s="36" t="s">
        <v>90</v>
      </c>
    </row>
    <row r="30" customHeight="1" spans="1:9">
      <c r="A30" t="str">
        <f t="shared" si="0"/>
        <v>Labelcol</v>
      </c>
      <c r="B30" t="s">
        <v>41</v>
      </c>
      <c r="C30" t="str">
        <f t="shared" si="1"/>
        <v>LabelCol</v>
      </c>
      <c r="D30" s="48" t="s">
        <v>48</v>
      </c>
      <c r="E30" t="str">
        <f t="shared" si="2"/>
        <v>`json:"labelCol"`</v>
      </c>
      <c r="F30" t="s">
        <v>91</v>
      </c>
      <c r="G30" t="s">
        <v>157</v>
      </c>
      <c r="H30" s="35" t="s">
        <v>92</v>
      </c>
      <c r="I30" s="36" t="s">
        <v>67</v>
      </c>
    </row>
    <row r="31" customHeight="1" spans="1:9">
      <c r="A31" t="str">
        <f t="shared" si="0"/>
        <v>Required</v>
      </c>
      <c r="B31" t="s">
        <v>44</v>
      </c>
      <c r="C31" t="str">
        <f t="shared" si="1"/>
        <v>Required</v>
      </c>
      <c r="D31" s="48" t="s">
        <v>48</v>
      </c>
      <c r="E31" t="str">
        <f t="shared" si="2"/>
        <v>`json:"required"`</v>
      </c>
      <c r="F31" t="s">
        <v>94</v>
      </c>
      <c r="G31" t="s">
        <v>157</v>
      </c>
      <c r="H31" s="35" t="s">
        <v>95</v>
      </c>
      <c r="I31" s="38" t="b">
        <v>0</v>
      </c>
    </row>
    <row r="32" customHeight="1" spans="1:5">
      <c r="A32" t="str">
        <f t="shared" si="0"/>
        <v>Type</v>
      </c>
      <c r="B32" s="47" t="s">
        <v>51</v>
      </c>
      <c r="C32" t="str">
        <f t="shared" si="1"/>
        <v>Type</v>
      </c>
      <c r="D32" s="48" t="s">
        <v>48</v>
      </c>
      <c r="E32" t="str">
        <f t="shared" si="2"/>
        <v>`json:"type"`</v>
      </c>
    </row>
    <row r="33" customHeight="1" spans="1:5">
      <c r="A33" t="str">
        <f t="shared" si="0"/>
        <v>Name</v>
      </c>
      <c r="B33" s="47" t="s">
        <v>161</v>
      </c>
      <c r="C33" t="str">
        <f t="shared" si="1"/>
        <v>Name</v>
      </c>
      <c r="D33" s="48" t="s">
        <v>48</v>
      </c>
      <c r="E33" t="str">
        <f t="shared" si="2"/>
        <v>`json:"name"`</v>
      </c>
    </row>
    <row r="34" customHeight="1" spans="1:5">
      <c r="A34" t="str">
        <f t="shared" si="0"/>
        <v>Id</v>
      </c>
      <c r="B34" s="47" t="s">
        <v>56</v>
      </c>
      <c r="C34" t="str">
        <f t="shared" si="1"/>
        <v>Id</v>
      </c>
      <c r="D34" s="48" t="s">
        <v>48</v>
      </c>
      <c r="E34" t="str">
        <f t="shared" si="2"/>
        <v>`json:"id"`</v>
      </c>
    </row>
    <row r="35" customHeight="1" spans="2:5">
      <c r="B35" t="s">
        <v>53</v>
      </c>
      <c r="C35" t="str">
        <f t="shared" si="1"/>
        <v>GetFieldDecorator</v>
      </c>
      <c r="D35" s="48" t="s">
        <v>48</v>
      </c>
      <c r="E35" t="str">
        <f t="shared" si="2"/>
        <v>`json:"getFieldDecorator"`</v>
      </c>
    </row>
    <row r="36" customHeight="1" spans="4:4">
      <c r="D36" s="48"/>
    </row>
    <row r="37" customHeight="1" spans="2:5">
      <c r="B37" t="s">
        <v>71</v>
      </c>
      <c r="C37" t="str">
        <f t="shared" ref="C36:C47" si="3">UPPER(LEFT(B37))&amp;RIGHT(B37,LEN(B37)-1)</f>
        <v>Enum</v>
      </c>
      <c r="D37" s="48" t="s">
        <v>48</v>
      </c>
      <c r="E37" t="str">
        <f t="shared" ref="E36:E47" si="4">"`json:"""&amp;B37&amp;"""`"</f>
        <v>`json:"enum"`</v>
      </c>
    </row>
    <row r="38" customHeight="1" spans="2:5">
      <c r="B38" t="s">
        <v>73</v>
      </c>
      <c r="C38" t="str">
        <f t="shared" si="3"/>
        <v>Len</v>
      </c>
      <c r="D38" s="48" t="s">
        <v>48</v>
      </c>
      <c r="E38" t="str">
        <f t="shared" si="4"/>
        <v>`json:"len"`</v>
      </c>
    </row>
    <row r="39" customHeight="1" spans="2:5">
      <c r="B39" t="s">
        <v>76</v>
      </c>
      <c r="C39" t="str">
        <f t="shared" si="3"/>
        <v>Max</v>
      </c>
      <c r="D39" s="48" t="s">
        <v>48</v>
      </c>
      <c r="E39" t="str">
        <f t="shared" si="4"/>
        <v>`json:"max"`</v>
      </c>
    </row>
    <row r="40" customHeight="1" spans="2:5">
      <c r="B40" t="s">
        <v>78</v>
      </c>
      <c r="C40" t="str">
        <f t="shared" si="3"/>
        <v>Message</v>
      </c>
      <c r="D40" s="48" t="s">
        <v>48</v>
      </c>
      <c r="E40" t="str">
        <f t="shared" si="4"/>
        <v>`json:"message"`</v>
      </c>
    </row>
    <row r="41" customHeight="1" spans="2:5">
      <c r="B41" t="s">
        <v>80</v>
      </c>
      <c r="C41" t="str">
        <f t="shared" si="3"/>
        <v>Min</v>
      </c>
      <c r="D41" s="48" t="s">
        <v>48</v>
      </c>
      <c r="E41" t="str">
        <f t="shared" si="4"/>
        <v>`json:"min"`</v>
      </c>
    </row>
    <row r="42" customHeight="1" spans="2:5">
      <c r="B42" t="s">
        <v>82</v>
      </c>
      <c r="C42" t="str">
        <f t="shared" si="3"/>
        <v>Pattern</v>
      </c>
      <c r="D42" s="48" t="s">
        <v>48</v>
      </c>
      <c r="E42" t="str">
        <f t="shared" si="4"/>
        <v>`json:"pattern"`</v>
      </c>
    </row>
    <row r="43" customHeight="1" spans="2:5">
      <c r="B43" t="s">
        <v>44</v>
      </c>
      <c r="C43" t="str">
        <f t="shared" si="3"/>
        <v>Required</v>
      </c>
      <c r="D43" s="48" t="s">
        <v>48</v>
      </c>
      <c r="E43" t="str">
        <f t="shared" si="4"/>
        <v>`json:"required"`</v>
      </c>
    </row>
    <row r="44" customHeight="1" spans="2:5">
      <c r="B44" s="49" t="s">
        <v>86</v>
      </c>
      <c r="C44" t="str">
        <f t="shared" si="3"/>
        <v>Transform</v>
      </c>
      <c r="D44" s="48" t="s">
        <v>48</v>
      </c>
      <c r="E44" t="str">
        <f t="shared" si="4"/>
        <v>`json:"transform"`</v>
      </c>
    </row>
    <row r="45" customHeight="1" spans="2:5">
      <c r="B45" t="s">
        <v>51</v>
      </c>
      <c r="C45" t="str">
        <f t="shared" si="3"/>
        <v>Type</v>
      </c>
      <c r="D45" s="48" t="s">
        <v>48</v>
      </c>
      <c r="E45" t="str">
        <f t="shared" si="4"/>
        <v>`json:"type"`</v>
      </c>
    </row>
    <row r="46" customHeight="1" spans="2:5">
      <c r="B46" t="s">
        <v>91</v>
      </c>
      <c r="C46" t="str">
        <f t="shared" si="3"/>
        <v>Validator</v>
      </c>
      <c r="D46" s="48" t="s">
        <v>48</v>
      </c>
      <c r="E46" t="str">
        <f t="shared" si="4"/>
        <v>`json:"validator"`</v>
      </c>
    </row>
    <row r="47" customHeight="1" spans="2:5">
      <c r="B47" t="s">
        <v>94</v>
      </c>
      <c r="C47" t="str">
        <f t="shared" si="3"/>
        <v>Whitespace</v>
      </c>
      <c r="D47" s="48" t="s">
        <v>48</v>
      </c>
      <c r="E47" t="str">
        <f t="shared" si="4"/>
        <v>`json:"whitespace"`</v>
      </c>
    </row>
    <row r="48" customHeight="1" spans="4:4">
      <c r="D48" s="48"/>
    </row>
    <row r="49" customHeight="1" spans="2:5">
      <c r="B49" t="s">
        <v>51</v>
      </c>
      <c r="C49" t="str">
        <f>UPPER(LEFT(B49))&amp;RIGHT(B49,LEN(B49)-1)</f>
        <v>Type</v>
      </c>
      <c r="D49" s="48" t="s">
        <v>48</v>
      </c>
      <c r="E49" t="str">
        <f>"`json:"""&amp;B49&amp;"""`"</f>
        <v>`json:"type"`</v>
      </c>
    </row>
    <row r="50" customHeight="1" spans="2:5">
      <c r="B50" t="s">
        <v>167</v>
      </c>
      <c r="C50" t="str">
        <f>UPPER(LEFT(B50))&amp;RIGHT(B50,LEN(B50)-1)</f>
        <v>Attr</v>
      </c>
      <c r="D50" s="48" t="s">
        <v>48</v>
      </c>
      <c r="E50" t="str">
        <f>"`json:"""&amp;B50&amp;"""`"</f>
        <v>`json:"attr"`</v>
      </c>
    </row>
    <row r="51" customHeight="1" spans="4:4">
      <c r="D51" s="48"/>
    </row>
    <row r="52" customHeight="1" spans="2:5">
      <c r="B52" s="48" t="s">
        <v>168</v>
      </c>
      <c r="C52" t="str">
        <f>UPPER(LEFT(B52))&amp;RIGHT(B52,LEN(B52)-1)</f>
        <v>FormItem</v>
      </c>
      <c r="D52" s="48" t="s">
        <v>48</v>
      </c>
      <c r="E52" t="str">
        <f>"`json:"""&amp;B52&amp;"""`"</f>
        <v>`json:"FormItem"`</v>
      </c>
    </row>
  </sheetData>
  <hyperlinks>
    <hyperlink ref="H29" r:id="rId1" display="内建校验类型，可选项"/>
    <hyperlink ref="H30" r:id="rId2" display="自定义校验（注意，callback 必须被调用）" tooltip="https://github.com/ant-design/ant-design/issues/5155"/>
  </hyperlink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R25"/>
  <sheetViews>
    <sheetView topLeftCell="H4" workbookViewId="0">
      <selection activeCell="N5" sqref="N5"/>
    </sheetView>
  </sheetViews>
  <sheetFormatPr defaultColWidth="9" defaultRowHeight="28" customHeight="1"/>
  <cols>
    <col min="2" max="2" width="26.125" customWidth="1"/>
    <col min="4" max="4" width="10.125" customWidth="1"/>
    <col min="7" max="7" width="20.875" customWidth="1"/>
    <col min="8" max="8" width="25.25" customWidth="1"/>
    <col min="10" max="10" width="19" customWidth="1"/>
    <col min="12" max="12" width="36.625" customWidth="1"/>
    <col min="13" max="13" width="17.375" customWidth="1"/>
    <col min="14" max="14" width="22.25" customWidth="1"/>
    <col min="15" max="15" width="47.75" customWidth="1"/>
    <col min="16" max="16" width="79.75" customWidth="1"/>
    <col min="18" max="18" width="55.125" customWidth="1"/>
  </cols>
  <sheetData>
    <row r="1" customHeight="1" spans="1:1">
      <c r="A1" t="s">
        <v>169</v>
      </c>
    </row>
    <row r="3" customHeight="1" spans="1:1">
      <c r="A3" t="s">
        <v>170</v>
      </c>
    </row>
    <row r="4" customHeight="1" spans="1:18">
      <c r="A4" s="31" t="s">
        <v>171</v>
      </c>
      <c r="B4" s="31" t="s">
        <v>172</v>
      </c>
      <c r="C4" s="31" t="s">
        <v>173</v>
      </c>
      <c r="D4" s="31" t="s">
        <v>174</v>
      </c>
      <c r="E4" s="31" t="s">
        <v>175</v>
      </c>
      <c r="F4" s="32"/>
      <c r="G4" s="33" t="s">
        <v>176</v>
      </c>
      <c r="H4" s="33" t="s">
        <v>177</v>
      </c>
      <c r="I4" s="43" t="s">
        <v>178</v>
      </c>
      <c r="J4" s="44" t="s">
        <v>179</v>
      </c>
      <c r="K4" s="44" t="s">
        <v>180</v>
      </c>
      <c r="L4" s="44" t="s">
        <v>181</v>
      </c>
      <c r="M4" s="44" t="s">
        <v>182</v>
      </c>
      <c r="N4" s="44" t="s">
        <v>183</v>
      </c>
      <c r="O4" s="33" t="s">
        <v>184</v>
      </c>
      <c r="P4" s="33" t="s">
        <v>185</v>
      </c>
      <c r="Q4" s="33" t="s">
        <v>186</v>
      </c>
      <c r="R4" t="s">
        <v>187</v>
      </c>
    </row>
    <row r="5" customHeight="1" spans="1:18">
      <c r="A5" s="34" t="s">
        <v>71</v>
      </c>
      <c r="B5" s="35" t="s">
        <v>72</v>
      </c>
      <c r="C5" s="36" t="s">
        <v>48</v>
      </c>
      <c r="D5" s="36" t="s">
        <v>67</v>
      </c>
      <c r="E5" s="31" t="s">
        <v>175</v>
      </c>
      <c r="G5" s="33" t="str">
        <f>CONCATENATE("p",$I5,A5)</f>
        <v>pRulesenum</v>
      </c>
      <c r="H5" s="33" t="str">
        <f>CONCATENATE("u",$I5,A5)</f>
        <v>uRulesenum</v>
      </c>
      <c r="I5" s="33" t="s">
        <v>188</v>
      </c>
      <c r="J5" s="33" t="str">
        <f>A5</f>
        <v>enum</v>
      </c>
      <c r="K5" s="33" t="s">
        <v>189</v>
      </c>
      <c r="L5" s="33" t="str">
        <f>B5</f>
        <v>枚举类型</v>
      </c>
      <c r="M5" s="33"/>
      <c r="N5" s="33" t="s">
        <v>190</v>
      </c>
      <c r="O5" s="33" t="str">
        <f>CreateFormHtml(I5,J5,K5,L5,M5)</f>
        <v>&lt;li class="left half hide" id="pRulesenum"&gt;&lt;label class="desc" for="Rulesenum"&gt;Rules enum&lt;a href="#" class="help" title="Rules enum" rel="枚举类型"&gt;(?)&lt;/a&gt;&lt;/label&gt;&lt;input id="Rulesenum" name="Rulesenum"  class="xxl"&gt;&lt;/li&gt;</v>
      </c>
      <c r="P5" s="33" t="str">
        <f>CreateFormJson(I5,J5,K5,L5,M5,N5)</f>
        <v>var uRulesenum= function() {F[IDX].FormItem.getFieldDecorator.rules.enum = $.trim($(this).val());CHANGED = true};$('#Rulesenum').bind({  keyup: uRulesenum,  change: uRulesenum});</v>
      </c>
      <c r="Q5" s="33"/>
      <c r="R5" t="str">
        <f>setPropertieValues(I5,J5,N5)</f>
        <v>if (c.FormItem.getFieldDecorator.rules) {      $('#Rulesenum').val(c.FormItem.getFieldDecorator.rules.enum);        }   </v>
      </c>
    </row>
    <row r="6" customHeight="1" spans="1:18">
      <c r="A6" s="34" t="s">
        <v>73</v>
      </c>
      <c r="B6" s="35" t="s">
        <v>74</v>
      </c>
      <c r="C6" s="36" t="s">
        <v>75</v>
      </c>
      <c r="D6" s="36" t="s">
        <v>67</v>
      </c>
      <c r="E6" s="31" t="s">
        <v>175</v>
      </c>
      <c r="G6" s="33" t="str">
        <f t="shared" ref="G6:G15" si="0">CONCATENATE("p",$I6,A6)</f>
        <v>pRuleslen</v>
      </c>
      <c r="H6" s="33" t="str">
        <f>CONCATENATE("u",$I6,A6)</f>
        <v>uRuleslen</v>
      </c>
      <c r="I6" s="33" t="s">
        <v>188</v>
      </c>
      <c r="J6" s="33" t="str">
        <f>A6</f>
        <v>len</v>
      </c>
      <c r="K6" s="33" t="s">
        <v>189</v>
      </c>
      <c r="L6" s="33" t="str">
        <f t="shared" ref="L6:L15" si="1">B6</f>
        <v>字段长度</v>
      </c>
      <c r="M6" s="33"/>
      <c r="N6" s="33" t="s">
        <v>190</v>
      </c>
      <c r="O6" s="33" t="str">
        <f>CreateFormHtml(I6,J6,K6,L6,M6)</f>
        <v>&lt;li class="left half hide" id="pRuleslen"&gt;&lt;label class="desc" for="Ruleslen"&gt;Rules len&lt;a href="#" class="help" title="Rules len" rel="字段长度"&gt;(?)&lt;/a&gt;&lt;/label&gt;&lt;input id="Ruleslen" name="Ruleslen"  class="xxl"&gt;&lt;/li&gt;</v>
      </c>
      <c r="P6" s="33" t="str">
        <f>CreateFormJson(I6,J6,K6,L6,M6,N6)</f>
        <v>var uRuleslen= function() {F[IDX].FormItem.getFieldDecorator.rules.len = $.trim($(this).val());CHANGED = true};$('#Ruleslen').bind({  keyup: uRuleslen,  change: uRuleslen});</v>
      </c>
      <c r="Q6" s="33" t="str">
        <f>"json: '({""LBL"":"""&amp;"ant"&amp;I6&amp;" "",""TYP"":"""&amp;"ant"&amp;I6&amp;" "",""FLDSZ"":""m"",""REQD"":""0"",""UNIQ"":""0"",""SCU"":""pub"",""Aid"":"""&amp;"ant"&amp;I6&amp;" "",""Content"":"""&amp;"ant"&amp;I6&amp;" ""})',"</f>
        <v>json: '({"LBL":"antRules ","TYP":"antRules ","FLDSZ":"m","REQD":"0","UNIQ":"0","SCU":"pub","Aid":"antRules ","Content":"antRules "})',</v>
      </c>
      <c r="R6" t="str">
        <f>setPropertieValues(I6,J6,N6)</f>
        <v>if (c.FormItem.getFieldDecorator.rules) {      $('#Ruleslen').val(c.FormItem.getFieldDecorator.rules.len);        }   </v>
      </c>
    </row>
    <row r="7" customHeight="1" spans="1:18">
      <c r="A7" s="34" t="s">
        <v>76</v>
      </c>
      <c r="B7" s="35" t="s">
        <v>77</v>
      </c>
      <c r="C7" s="36" t="s">
        <v>75</v>
      </c>
      <c r="D7" s="36" t="s">
        <v>67</v>
      </c>
      <c r="E7" s="31" t="s">
        <v>175</v>
      </c>
      <c r="G7" s="33" t="str">
        <f t="shared" si="0"/>
        <v>pRulesmax</v>
      </c>
      <c r="H7" s="33" t="str">
        <f t="shared" ref="H7:H15" si="2">CONCATENATE("u",$I7,A7)</f>
        <v>uRulesmax</v>
      </c>
      <c r="I7" s="33" t="s">
        <v>188</v>
      </c>
      <c r="J7" s="33" t="str">
        <f t="shared" ref="J7:J15" si="3">A7</f>
        <v>max</v>
      </c>
      <c r="K7" s="33" t="s">
        <v>189</v>
      </c>
      <c r="L7" s="33" t="str">
        <f t="shared" si="1"/>
        <v>最大长度</v>
      </c>
      <c r="M7" s="33"/>
      <c r="N7" s="33" t="s">
        <v>190</v>
      </c>
      <c r="O7" s="33" t="str">
        <f>CreateFormHtml(I7,J7,K7,L7,M7)</f>
        <v>&lt;li class="left half hide" id="pRulesmax"&gt;&lt;label class="desc" for="Rulesmax"&gt;Rules max&lt;a href="#" class="help" title="Rules max" rel="最大长度"&gt;(?)&lt;/a&gt;&lt;/label&gt;&lt;input id="Rulesmax" name="Rulesmax"  class="xxl"&gt;&lt;/li&gt;</v>
      </c>
      <c r="P7" s="33" t="str">
        <f>CreateFormJson(I7,J7,K7,L7,M7,N7)</f>
        <v>var uRulesmax= function() {F[IDX].FormItem.getFieldDecorator.rules.max = $.trim($(this).val());CHANGED = true};$('#Rulesmax').bind({  keyup: uRulesmax,  change: uRulesmax});</v>
      </c>
      <c r="Q7" s="33"/>
      <c r="R7" t="str">
        <f>setPropertieValues(I7,J7,N7)</f>
        <v>if (c.FormItem.getFieldDecorator.rules) {      $('#Rulesmax').val(c.FormItem.getFieldDecorator.rules.max);        }   </v>
      </c>
    </row>
    <row r="8" customHeight="1" spans="1:18">
      <c r="A8" s="34" t="s">
        <v>78</v>
      </c>
      <c r="B8" s="37" t="s">
        <v>79</v>
      </c>
      <c r="C8" s="36" t="s">
        <v>48</v>
      </c>
      <c r="D8" s="36" t="s">
        <v>67</v>
      </c>
      <c r="E8" s="31" t="s">
        <v>175</v>
      </c>
      <c r="G8" s="33" t="str">
        <f t="shared" si="0"/>
        <v>pRulesmessage</v>
      </c>
      <c r="H8" s="33" t="str">
        <f t="shared" si="2"/>
        <v>uRulesmessage</v>
      </c>
      <c r="I8" s="33" t="s">
        <v>188</v>
      </c>
      <c r="J8" s="33" t="str">
        <f t="shared" si="3"/>
        <v>message</v>
      </c>
      <c r="K8" s="33" t="s">
        <v>189</v>
      </c>
      <c r="L8" s="33" t="str">
        <f t="shared" si="1"/>
        <v>校验文案</v>
      </c>
      <c r="M8" s="33"/>
      <c r="N8" s="33" t="s">
        <v>190</v>
      </c>
      <c r="O8" s="33" t="str">
        <f>CreateFormHtml(I8,J8,K8,L8,M8)</f>
        <v>&lt;li class="left half hide" id="pRulesmessage"&gt;&lt;label class="desc" for="Rulesmessage"&gt;Rules message&lt;a href="#" class="help" title="Rules message" rel="校验文案"&gt;(?)&lt;/a&gt;&lt;/label&gt;&lt;input id="Rulesmessage" name="Rulesmessage"  class="xxl"&gt;&lt;/li&gt;</v>
      </c>
      <c r="P8" s="33" t="str">
        <f>CreateFormJson(I8,J8,K8,L8,M8,N8)</f>
        <v>var uRulesmessage= function() {F[IDX].FormItem.getFieldDecorator.rules.message = $.trim($(this).val());CHANGED = true};$('#Rulesmessage').bind({  keyup: uRulesmessage,  change: uRulesmessage});</v>
      </c>
      <c r="Q8" s="33"/>
      <c r="R8" t="str">
        <f>setPropertieValues(I8,J8,N8)</f>
        <v>if (c.FormItem.getFieldDecorator.rules) {      $('#Rulesmessage').val(c.FormItem.getFieldDecorator.rules.message);        }   </v>
      </c>
    </row>
    <row r="9" customHeight="1" spans="1:18">
      <c r="A9" s="34" t="s">
        <v>80</v>
      </c>
      <c r="B9" s="35" t="s">
        <v>81</v>
      </c>
      <c r="C9" s="36" t="s">
        <v>75</v>
      </c>
      <c r="D9" s="36" t="s">
        <v>67</v>
      </c>
      <c r="E9" s="31" t="s">
        <v>175</v>
      </c>
      <c r="G9" s="33" t="str">
        <f t="shared" si="0"/>
        <v>pRulesmin</v>
      </c>
      <c r="H9" s="33" t="str">
        <f t="shared" si="2"/>
        <v>uRulesmin</v>
      </c>
      <c r="I9" s="33" t="s">
        <v>188</v>
      </c>
      <c r="J9" s="33" t="str">
        <f t="shared" si="3"/>
        <v>min</v>
      </c>
      <c r="K9" s="33" t="s">
        <v>189</v>
      </c>
      <c r="L9" s="33" t="str">
        <f t="shared" si="1"/>
        <v>最小长度</v>
      </c>
      <c r="M9" s="33"/>
      <c r="N9" s="33" t="s">
        <v>190</v>
      </c>
      <c r="O9" s="33" t="str">
        <f>CreateFormHtml(I9,J9,K9,L9,M9)</f>
        <v>&lt;li class="left half hide" id="pRulesmin"&gt;&lt;label class="desc" for="Rulesmin"&gt;Rules min&lt;a href="#" class="help" title="Rules min" rel="最小长度"&gt;(?)&lt;/a&gt;&lt;/label&gt;&lt;input id="Rulesmin" name="Rulesmin"  class="xxl"&gt;&lt;/li&gt;</v>
      </c>
      <c r="P9" s="33" t="str">
        <f>CreateFormJson(I9,J9,K9,L9,M9,N9)</f>
        <v>var uRulesmin= function() {F[IDX].FormItem.getFieldDecorator.rules.min = $.trim($(this).val());CHANGED = true};$('#Rulesmin').bind({  keyup: uRulesmin,  change: uRulesmin});</v>
      </c>
      <c r="Q9" s="33"/>
      <c r="R9" t="str">
        <f>setPropertieValues(I9,J9,N9)</f>
        <v>if (c.FormItem.getFieldDecorator.rules) {      $('#Rulesmin').val(c.FormItem.getFieldDecorator.rules.min);        }   </v>
      </c>
    </row>
    <row r="10" customHeight="1" spans="1:18">
      <c r="A10" s="34" t="s">
        <v>82</v>
      </c>
      <c r="B10" s="35" t="s">
        <v>83</v>
      </c>
      <c r="C10" s="36" t="s">
        <v>84</v>
      </c>
      <c r="D10" s="36" t="s">
        <v>67</v>
      </c>
      <c r="E10" s="31" t="s">
        <v>175</v>
      </c>
      <c r="G10" s="33" t="str">
        <f t="shared" si="0"/>
        <v>pRulespattern</v>
      </c>
      <c r="H10" s="33" t="str">
        <f t="shared" si="2"/>
        <v>uRulespattern</v>
      </c>
      <c r="I10" s="33" t="s">
        <v>188</v>
      </c>
      <c r="J10" s="33" t="str">
        <f t="shared" si="3"/>
        <v>pattern</v>
      </c>
      <c r="K10" s="33" t="s">
        <v>189</v>
      </c>
      <c r="L10" s="33" t="str">
        <f t="shared" si="1"/>
        <v>正则表达式校验</v>
      </c>
      <c r="M10" s="33"/>
      <c r="N10" s="33" t="s">
        <v>190</v>
      </c>
      <c r="O10" s="33" t="str">
        <f>CreateFormHtml(I10,J10,K10,L10,M10)</f>
        <v>&lt;li class="left half hide" id="pRulespattern"&gt;&lt;label class="desc" for="Rulespattern"&gt;Rules pattern&lt;a href="#" class="help" title="Rules pattern" rel="正则表达式校验"&gt;(?)&lt;/a&gt;&lt;/label&gt;&lt;input id="Rulespattern" name="Rulespattern"  class="xxl"&gt;&lt;/li&gt;</v>
      </c>
      <c r="P10" s="33" t="str">
        <f>CreateFormJson(I10,J10,K10,L10,M10,N10)</f>
        <v>var uRulespattern= function() {F[IDX].FormItem.getFieldDecorator.rules.pattern = $.trim($(this).val());CHANGED = true};$('#Rulespattern').bind({  keyup: uRulespattern,  change: uRulespattern});</v>
      </c>
      <c r="Q10" s="33"/>
      <c r="R10" t="str">
        <f>setPropertieValues(I10,J10,N10)</f>
        <v>if (c.FormItem.getFieldDecorator.rules) {      $('#Rulespattern').val(c.FormItem.getFieldDecorator.rules.pattern);        }   </v>
      </c>
    </row>
    <row r="11" customHeight="1" spans="1:18">
      <c r="A11" s="34" t="s">
        <v>44</v>
      </c>
      <c r="B11" s="35" t="s">
        <v>85</v>
      </c>
      <c r="C11" s="36" t="s">
        <v>31</v>
      </c>
      <c r="D11" s="38" t="b">
        <v>0</v>
      </c>
      <c r="E11" s="31" t="s">
        <v>175</v>
      </c>
      <c r="G11" s="33" t="str">
        <f t="shared" si="0"/>
        <v>pRulesrequired</v>
      </c>
      <c r="H11" s="33" t="str">
        <f t="shared" si="2"/>
        <v>uRulesrequired</v>
      </c>
      <c r="I11" s="33" t="s">
        <v>188</v>
      </c>
      <c r="J11" s="33" t="str">
        <f t="shared" si="3"/>
        <v>required</v>
      </c>
      <c r="K11" s="33" t="s">
        <v>191</v>
      </c>
      <c r="L11" s="33" t="str">
        <f t="shared" si="1"/>
        <v>是否必选</v>
      </c>
      <c r="M11" s="33" t="s">
        <v>192</v>
      </c>
      <c r="N11" s="33" t="s">
        <v>190</v>
      </c>
      <c r="O11" s="33" t="str">
        <f>CreateFormHtml(I11,J11,K11,L11,M11)</f>
        <v>&lt;li class="left half hide" id="pRulesrequired"&gt;&lt;label class="desc" for="Rulesrequired"&gt;Rules required&lt;a href="#" class="help" title="Rules required" rel="是否必选"&gt;(?)&lt;/a&gt;&lt;/label&gt;&lt;select id="Rulesrequired" name="Rulesrequired"  class="xxl"&gt;&lt;option value="&lt;false&gt;"&gt;&lt;false&gt;&lt;/option&gt;&lt;option value="&lt;true&gt;"&gt;&lt;true&gt;&lt;/option&gt;&lt;/select&gt;&lt;/li&gt;</v>
      </c>
      <c r="P11" s="33" t="str">
        <f>CreateFormJson(I11,J11,K11,L11,M11,N11)</f>
        <v>var uRulesrequired= function() {F[IDX].FormItem.getFieldDecorator.rules.required = $.trim($(this).val());CHANGED = true};$('#Rulesrequired').bind({  keyup: uRulesrequired,  change: uRulesrequired});</v>
      </c>
      <c r="Q11" s="33"/>
      <c r="R11" t="str">
        <f>setPropertieValues(I11,J11,N11)</f>
        <v>if (c.FormItem.getFieldDecorator.rules) {      $('#Rulesrequired').val(c.FormItem.getFieldDecorator.rules.required);        }   </v>
      </c>
    </row>
    <row r="12" customHeight="1" spans="1:18">
      <c r="A12" s="34" t="s">
        <v>86</v>
      </c>
      <c r="B12" s="37" t="s">
        <v>87</v>
      </c>
      <c r="C12" s="36" t="s">
        <v>88</v>
      </c>
      <c r="D12" s="36" t="s">
        <v>67</v>
      </c>
      <c r="E12" s="31" t="s">
        <v>175</v>
      </c>
      <c r="G12" s="33" t="str">
        <f t="shared" si="0"/>
        <v>pRulestransform</v>
      </c>
      <c r="H12" s="33" t="str">
        <f t="shared" si="2"/>
        <v>uRulestransform</v>
      </c>
      <c r="I12" s="33" t="s">
        <v>188</v>
      </c>
      <c r="J12" s="33" t="str">
        <f t="shared" si="3"/>
        <v>transform</v>
      </c>
      <c r="K12" s="33" t="s">
        <v>189</v>
      </c>
      <c r="L12" s="33" t="str">
        <f t="shared" si="1"/>
        <v>校验前转换字段值</v>
      </c>
      <c r="M12" s="33"/>
      <c r="N12" s="33" t="s">
        <v>190</v>
      </c>
      <c r="O12" s="33" t="str">
        <f>CreateFormHtml(I12,J12,K12,L12,M12)</f>
        <v>&lt;li class="left half hide" id="pRulestransform"&gt;&lt;label class="desc" for="Rulestransform"&gt;Rules transform&lt;a href="#" class="help" title="Rules transform" rel="校验前转换字段值"&gt;(?)&lt;/a&gt;&lt;/label&gt;&lt;input id="Rulestransform" name="Rulestransform"  class="xxl"&gt;&lt;/li&gt;</v>
      </c>
      <c r="P12" s="33" t="str">
        <f>CreateFormJson(I12,J12,K12,L12,M12,N12)</f>
        <v>var uRulestransform= function() {F[IDX].FormItem.getFieldDecorator.rules.transform = $.trim($(this).val());CHANGED = true};$('#Rulestransform').bind({  keyup: uRulestransform,  change: uRulestransform});</v>
      </c>
      <c r="Q12" s="33"/>
      <c r="R12" t="str">
        <f>setPropertieValues(I12,J12,N12)</f>
        <v>if (c.FormItem.getFieldDecorator.rules) {      $('#Rulestransform').val(c.FormItem.getFieldDecorator.rules.transform);        }   </v>
      </c>
    </row>
    <row r="13" customHeight="1" spans="1:18">
      <c r="A13" s="34" t="s">
        <v>51</v>
      </c>
      <c r="B13" s="35" t="s">
        <v>89</v>
      </c>
      <c r="C13" s="36" t="s">
        <v>48</v>
      </c>
      <c r="D13" s="36" t="s">
        <v>90</v>
      </c>
      <c r="E13" s="31" t="s">
        <v>175</v>
      </c>
      <c r="G13" s="33" t="str">
        <f t="shared" si="0"/>
        <v>pRulestype</v>
      </c>
      <c r="H13" s="33" t="str">
        <f t="shared" si="2"/>
        <v>uRulestype</v>
      </c>
      <c r="I13" s="33" t="s">
        <v>188</v>
      </c>
      <c r="J13" s="33" t="str">
        <f t="shared" si="3"/>
        <v>type</v>
      </c>
      <c r="K13" s="33" t="s">
        <v>191</v>
      </c>
      <c r="L13" s="33" t="str">
        <f t="shared" si="1"/>
        <v>内建校验类型，可选项</v>
      </c>
      <c r="M13" s="63" t="s">
        <v>193</v>
      </c>
      <c r="N13" s="33" t="s">
        <v>190</v>
      </c>
      <c r="O13" s="33" t="str">
        <f>CreateFormHtml(I13,J13,K13,L13,M13)</f>
        <v>&lt;li class="left half hide" id="pRulestype"&gt;&lt;label class="desc" for="Rulestype"&gt;Rules type&lt;a href="#" class="help" title="Rules type" rel="内建校验类型，可选项"&gt;(?)&lt;/a&gt;&lt;/label&gt;&lt;select id="Rulestype" name="Rulestype"  class="xxl"&gt;&lt;option value="string'"&gt;string'&lt;/option&gt;&lt;option value="'number'"&gt;'number'&lt;/option&gt;&lt;option value="'boolean'"&gt;'boolean'&lt;/option&gt;&lt;option value="'method'"&gt;'method'&lt;/option&gt;&lt;option value="'regexp'"&gt;'regexp'&lt;/option&gt;&lt;option value="'integer'"&gt;'integer'&lt;/option&gt;&lt;option value="'float'"&gt;'float'&lt;/option&gt;&lt;option value="'array'"&gt;'array'&lt;/option&gt;&lt;option value="'object'"&gt;'object'&lt;/option&gt;&lt;option value="'enum'"&gt;'enum'&lt;/option&gt;&lt;option value="'date'"&gt;'date'&lt;/option&gt;&lt;option value="'url'"&gt;'url'&lt;/option&gt;&lt;option value="'hex'"&gt;'hex'&lt;/option&gt;&lt;option value="'email'"&gt;'email'&lt;/option&gt;&lt;/select&gt;&lt;/li&gt;</v>
      </c>
      <c r="P13" s="33" t="str">
        <f>CreateFormJson(I13,J13,K13,L13,M13,N13)</f>
        <v>var uRulestype= function() {F[IDX].FormItem.getFieldDecorator.rules.type = $.trim($(this).val());CHANGED = true};$('#Rulestype').bind({  keyup: uRulestype,  change: uRulestype});</v>
      </c>
      <c r="Q13" s="33"/>
      <c r="R13" t="str">
        <f>setPropertieValues(I13,J13,N13)</f>
        <v>if (c.FormItem.getFieldDecorator.rules) {      $('#Rulestype').val(c.FormItem.getFieldDecorator.rules.type);        }   </v>
      </c>
    </row>
    <row r="14" customHeight="1" spans="1:18">
      <c r="A14" s="34" t="s">
        <v>91</v>
      </c>
      <c r="B14" s="35" t="s">
        <v>92</v>
      </c>
      <c r="C14" s="36" t="s">
        <v>93</v>
      </c>
      <c r="D14" s="36" t="s">
        <v>67</v>
      </c>
      <c r="E14" s="31" t="s">
        <v>175</v>
      </c>
      <c r="G14" s="33" t="str">
        <f t="shared" si="0"/>
        <v>pRulesvalidator</v>
      </c>
      <c r="H14" s="33" t="str">
        <f t="shared" si="2"/>
        <v>uRulesvalidator</v>
      </c>
      <c r="I14" s="33" t="s">
        <v>188</v>
      </c>
      <c r="J14" s="33" t="str">
        <f t="shared" si="3"/>
        <v>validator</v>
      </c>
      <c r="K14" s="33" t="s">
        <v>189</v>
      </c>
      <c r="L14" s="33" t="str">
        <f t="shared" si="1"/>
        <v>自定义校验（注意，callback 必须被调用）</v>
      </c>
      <c r="M14" s="33"/>
      <c r="N14" s="33" t="s">
        <v>190</v>
      </c>
      <c r="O14" s="33" t="str">
        <f>CreateFormHtml(I14,J14,K14,L14,M14)</f>
        <v>&lt;li class="left half hide" id="pRulesvalidator"&gt;&lt;label class="desc" for="Rulesvalidator"&gt;Rules validator&lt;a href="#" class="help" title="Rules validator" rel="自定义校验（注意，callback 必须被调用）"&gt;(?)&lt;/a&gt;&lt;/label&gt;&lt;input id="Rulesvalidator" name="Rulesvalidator"  class="xxl"&gt;&lt;/li&gt;</v>
      </c>
      <c r="P14" s="33" t="str">
        <f>CreateFormJson(I14,J14,K14,L14,M14,N14)</f>
        <v>var uRulesvalidator= function() {F[IDX].FormItem.getFieldDecorator.rules.validator = $.trim($(this).val());CHANGED = true};$('#Rulesvalidator').bind({  keyup: uRulesvalidator,  change: uRulesvalidator});</v>
      </c>
      <c r="Q14" s="33"/>
      <c r="R14" t="str">
        <f>setPropertieValues(I14,J14,N14)</f>
        <v>if (c.FormItem.getFieldDecorator.rules) {      $('#Rulesvalidator').val(c.FormItem.getFieldDecorator.rules.validator);        }   </v>
      </c>
    </row>
    <row r="15" customHeight="1" spans="1:18">
      <c r="A15" s="34" t="s">
        <v>94</v>
      </c>
      <c r="B15" s="35" t="s">
        <v>95</v>
      </c>
      <c r="C15" s="36" t="s">
        <v>31</v>
      </c>
      <c r="D15" s="38" t="b">
        <v>0</v>
      </c>
      <c r="E15" s="31" t="s">
        <v>175</v>
      </c>
      <c r="G15" s="33" t="str">
        <f t="shared" si="0"/>
        <v>pRuleswhitespace</v>
      </c>
      <c r="H15" s="33" t="str">
        <f t="shared" si="2"/>
        <v>uRuleswhitespace</v>
      </c>
      <c r="I15" s="33" t="s">
        <v>188</v>
      </c>
      <c r="J15" s="33" t="str">
        <f t="shared" si="3"/>
        <v>whitespace</v>
      </c>
      <c r="K15" s="33" t="s">
        <v>191</v>
      </c>
      <c r="L15" s="33" t="str">
        <f t="shared" si="1"/>
        <v>必选时，空格是否会被视为错误</v>
      </c>
      <c r="M15" s="33" t="s">
        <v>192</v>
      </c>
      <c r="N15" s="33" t="s">
        <v>190</v>
      </c>
      <c r="O15" s="33" t="str">
        <f>CreateFormHtml(I15,J15,K15,L15,M15)</f>
        <v>&lt;li class="left half hide" id="pRuleswhitespace"&gt;&lt;label class="desc" for="Ruleswhitespace"&gt;Rules whitespace&lt;a href="#" class="help" title="Rules whitespace" rel="必选时，空格是否会被视为错误"&gt;(?)&lt;/a&gt;&lt;/label&gt;&lt;select id="Ruleswhitespace" name="Ruleswhitespace"  class="xxl"&gt;&lt;option value="&lt;false&gt;"&gt;&lt;false&gt;&lt;/option&gt;&lt;option value="&lt;true&gt;"&gt;&lt;true&gt;&lt;/option&gt;&lt;/select&gt;&lt;/li&gt;</v>
      </c>
      <c r="P15" s="33" t="str">
        <f>CreateFormJson(I15,J15,K15,L15,M15,N15)</f>
        <v>var uRuleswhitespace= function() {F[IDX].FormItem.getFieldDecorator.rules.whitespace = $.trim($(this).val());CHANGED = true};$('#Ruleswhitespace').bind({  keyup: uRuleswhitespace,  change: uRuleswhitespace});</v>
      </c>
      <c r="Q15" s="33"/>
      <c r="R15" t="str">
        <f>setPropertieValues(I15,J15,N15)</f>
        <v>if (c.FormItem.getFieldDecorator.rules) {      $('#Ruleswhitespace').val(c.FormItem.getFieldDecorator.rules.whitespace);        }   </v>
      </c>
    </row>
    <row r="16" customHeight="1" spans="12:12">
      <c r="L16" t="s">
        <v>194</v>
      </c>
    </row>
    <row r="18" customHeight="1" spans="1:18">
      <c r="A18" s="31" t="s">
        <v>171</v>
      </c>
      <c r="B18" s="31" t="s">
        <v>172</v>
      </c>
      <c r="C18" s="31" t="s">
        <v>173</v>
      </c>
      <c r="D18" s="31" t="s">
        <v>174</v>
      </c>
      <c r="E18" s="31" t="s">
        <v>175</v>
      </c>
      <c r="F18" s="32"/>
      <c r="G18" s="33" t="s">
        <v>176</v>
      </c>
      <c r="H18" s="33" t="s">
        <v>177</v>
      </c>
      <c r="I18" s="43" t="s">
        <v>178</v>
      </c>
      <c r="J18" s="44" t="s">
        <v>179</v>
      </c>
      <c r="K18" s="44" t="s">
        <v>180</v>
      </c>
      <c r="L18" s="44" t="s">
        <v>181</v>
      </c>
      <c r="M18" s="44" t="s">
        <v>182</v>
      </c>
      <c r="N18" s="44" t="s">
        <v>183</v>
      </c>
      <c r="O18" s="33" t="s">
        <v>184</v>
      </c>
      <c r="P18" s="33" t="s">
        <v>195</v>
      </c>
      <c r="Q18" s="33" t="s">
        <v>186</v>
      </c>
      <c r="R18" t="s">
        <v>187</v>
      </c>
    </row>
    <row r="19" customHeight="1" spans="1:18">
      <c r="A19" s="34" t="s">
        <v>29</v>
      </c>
      <c r="B19" s="35" t="s">
        <v>30</v>
      </c>
      <c r="C19" s="36" t="s">
        <v>31</v>
      </c>
      <c r="D19" s="36" t="b">
        <v>1</v>
      </c>
      <c r="E19" s="33"/>
      <c r="F19" s="33"/>
      <c r="G19" s="33" t="str">
        <f t="shared" ref="G19:G25" si="4">CONCATENATE("p",$I19,A19)</f>
        <v>pFormItemcolon</v>
      </c>
      <c r="H19" s="33" t="str">
        <f t="shared" ref="H19:H25" si="5">CONCATENATE("u",$I19,A19)</f>
        <v>uFormItemcolon</v>
      </c>
      <c r="I19" s="33" t="s">
        <v>168</v>
      </c>
      <c r="J19" s="33" t="str">
        <f t="shared" ref="J19:J25" si="6">A19</f>
        <v>colon</v>
      </c>
      <c r="K19" s="33" t="s">
        <v>191</v>
      </c>
      <c r="L19" s="33" t="str">
        <f t="shared" ref="L19:L24" si="7">B19</f>
        <v>配合 label 属性使用，表示是否显示 label 后面的冒号</v>
      </c>
      <c r="M19" s="33" t="s">
        <v>196</v>
      </c>
      <c r="N19" s="33" t="s">
        <v>168</v>
      </c>
      <c r="O19" s="33" t="str">
        <f>CreateFormHtml(I19,J19,K19,L19,M19)</f>
        <v>&lt;li class="left half hide" id="pFormItemcolon"&gt;&lt;label class="desc" for="FormItemcolon"&gt;FormItem colon&lt;a href="#" class="help" title="FormItem colon" rel="配合 label 属性使用，表示是否显示 label 后面的冒号"&gt;(?)&lt;/a&gt;&lt;/label&gt;&lt;select id="FormItemcolon" name="FormItemcolon"  class="xxl"&gt;&lt;option value="true"&gt;true&lt;/option&gt;&lt;option value="false"&gt;false&lt;/option&gt;&lt;/select&gt;&lt;/li&gt;</v>
      </c>
      <c r="P19" s="33" t="str">
        <f>CreateFormJson(I19,J19,K19,L19,M19,N19)</f>
        <v>var uFormItemcolon= function() {F[IDX].FormItem.colon = $.trim($(this).val());CHANGED = true};$('#FormItemcolon').bind({  keyup: uFormItemcolon,  change: uFormItemcolon});</v>
      </c>
      <c r="Q19" s="33"/>
      <c r="R19" t="str">
        <f>setPropertieValues(I19,J19,N19)</f>
        <v>if (c.FormItem) {      $('#FormItemcolon').val(c.FormItem.colon);        }   </v>
      </c>
    </row>
    <row r="20" customHeight="1" spans="1:18">
      <c r="A20" s="34" t="s">
        <v>32</v>
      </c>
      <c r="B20" s="35" t="s">
        <v>33</v>
      </c>
      <c r="C20" s="36" t="s">
        <v>34</v>
      </c>
      <c r="D20" s="36"/>
      <c r="E20" s="33"/>
      <c r="F20" s="33"/>
      <c r="G20" s="33" t="str">
        <f t="shared" si="4"/>
        <v>pFormItemextra</v>
      </c>
      <c r="H20" s="33" t="str">
        <f t="shared" si="5"/>
        <v>uFormItemextra</v>
      </c>
      <c r="I20" s="33" t="s">
        <v>168</v>
      </c>
      <c r="J20" s="33" t="str">
        <f t="shared" si="6"/>
        <v>extra</v>
      </c>
      <c r="K20" s="33" t="s">
        <v>189</v>
      </c>
      <c r="L20" s="33" t="str">
        <f t="shared" si="7"/>
        <v>额外的提示信息，和 help 类似，当需要错误信息和提示文案同时出现时，可以使用这个。</v>
      </c>
      <c r="M20" s="33"/>
      <c r="N20" s="33" t="s">
        <v>168</v>
      </c>
      <c r="O20" s="33" t="str">
        <f>CreateFormHtml(I20,J20,K20,L20,M20)</f>
        <v>&lt;li class="left half hide" id="pFormItemextra"&gt;&lt;label class="desc" for="FormItemextra"&gt;FormItem extra&lt;a href="#" class="help" title="FormItem extra" rel="额外的提示信息，和 help 类似，当需要错误信息和提示文案同时出现时，可以使用这个。"&gt;(?)&lt;/a&gt;&lt;/label&gt;&lt;input id="FormItemextra" name="FormItemextra"  class="xxl"&gt;&lt;/li&gt;</v>
      </c>
      <c r="P20" s="33" t="str">
        <f>CreateFormJson(I20,J20,K20,L20,M20,N20)</f>
        <v>var uFormItemextra= function() {F[IDX].FormItem.extra = $.trim($(this).val());CHANGED = true};$('#FormItemextra').bind({  keyup: uFormItemextra,  change: uFormItemextra});</v>
      </c>
      <c r="Q20" s="33"/>
      <c r="R20" t="str">
        <f>setPropertieValues(I20,J20,N20)</f>
        <v>if (c.FormItem) {      $('#FormItemextra').val(c.FormItem.extra);        }   </v>
      </c>
    </row>
    <row r="21" customHeight="1" spans="1:18">
      <c r="A21" s="34" t="s">
        <v>39</v>
      </c>
      <c r="B21" s="35" t="s">
        <v>40</v>
      </c>
      <c r="C21" s="36" t="s">
        <v>34</v>
      </c>
      <c r="D21" s="36"/>
      <c r="E21" s="33"/>
      <c r="F21" s="33"/>
      <c r="G21" s="33" t="str">
        <f t="shared" si="4"/>
        <v>pFormItemlabel</v>
      </c>
      <c r="H21" s="33" t="str">
        <f t="shared" si="5"/>
        <v>uFormItemlabel</v>
      </c>
      <c r="I21" s="33" t="s">
        <v>168</v>
      </c>
      <c r="J21" s="33" t="str">
        <f t="shared" si="6"/>
        <v>label</v>
      </c>
      <c r="K21" s="33" t="s">
        <v>189</v>
      </c>
      <c r="L21" s="33" t="str">
        <f t="shared" si="7"/>
        <v>label 标签的文本</v>
      </c>
      <c r="M21" s="33"/>
      <c r="N21" s="33" t="s">
        <v>168</v>
      </c>
      <c r="O21" s="33" t="str">
        <f>CreateFormHtml(I21,J21,K21,L21,M21)</f>
        <v>&lt;li class="left half hide" id="pFormItemlabel"&gt;&lt;label class="desc" for="FormItemlabel"&gt;FormItem label&lt;a href="#" class="help" title="FormItem label" rel="label 标签的文本"&gt;(?)&lt;/a&gt;&lt;/label&gt;&lt;input id="FormItemlabel" name="FormItemlabel"  class="xxl"&gt;&lt;/li&gt;</v>
      </c>
      <c r="P21" s="33" t="str">
        <f>CreateFormJson(I21,J21,K21,L21,M21,N21)</f>
        <v>var uFormItemlabel= function() {F[IDX].FormItem.label = $.trim($(this).val());CHANGED = true};$('#FormItemlabel').bind({  keyup: uFormItemlabel,  change: uFormItemlabel});</v>
      </c>
      <c r="Q21" s="33"/>
      <c r="R21" t="str">
        <f>setPropertieValues(I21,J21,N21)</f>
        <v>if (c.FormItem) {      $('#FormItemlabel').val(c.FormItem.label);        }   </v>
      </c>
    </row>
    <row r="22" customHeight="1" spans="1:18">
      <c r="A22" s="34" t="s">
        <v>41</v>
      </c>
      <c r="B22" s="35" t="s">
        <v>197</v>
      </c>
      <c r="C22" s="39" t="s">
        <v>43</v>
      </c>
      <c r="D22" s="36"/>
      <c r="E22" s="33"/>
      <c r="F22" s="33"/>
      <c r="G22" s="33" t="str">
        <f t="shared" si="4"/>
        <v>pFormItemlabelCol</v>
      </c>
      <c r="H22" s="33" t="str">
        <f t="shared" si="5"/>
        <v>uFormItemlabelCol</v>
      </c>
      <c r="I22" s="33" t="s">
        <v>168</v>
      </c>
      <c r="J22" s="33" t="str">
        <f t="shared" si="6"/>
        <v>labelCol</v>
      </c>
      <c r="K22" s="33" t="s">
        <v>189</v>
      </c>
      <c r="L22" s="33" t="str">
        <f t="shared" si="7"/>
        <v>label 标签布局，同 &lt;Col&gt; 组件，设置 spanoffset 值，如 {span: 3, offset: 12} 或 sm: {span: 3, offset: 12}</v>
      </c>
      <c r="M22" s="33"/>
      <c r="N22" s="33" t="s">
        <v>168</v>
      </c>
      <c r="O22" s="33" t="str">
        <f>CreateFormHtml(I22,J22,K22,L22,M22)</f>
        <v>&lt;li class="left half hide" id="pFormItemlabelCol"&gt;&lt;label class="desc" for="FormItemlabelCol"&gt;FormItem labelCol&lt;a href="#" class="help" title="FormItem labelCol" rel="label 标签布局，同 &lt;Col&gt; 组件，设置 spanoffset 值，如 {span: 3, offset: 12} 或 sm: {span: 3, offset: 12}"&gt;(?)&lt;/a&gt;&lt;/label&gt;&lt;input id="FormItemlabelCol" name="FormItemlabelCol"  class="xxl"&gt;&lt;/li&gt;</v>
      </c>
      <c r="P22" s="33" t="str">
        <f>CreateFormJson(I22,J22,K22,L22,M22,N22)</f>
        <v>var uFormItemlabelCol= function() {F[IDX].FormItem.labelCol = $.trim($(this).val());CHANGED = true};$('#FormItemlabelCol').bind({  keyup: uFormItemlabelCol,  change: uFormItemlabelCol});</v>
      </c>
      <c r="Q22" s="33"/>
      <c r="R22" t="str">
        <f>setPropertieValues(I22,J22,N22)</f>
        <v>if (c.FormItem) {      $('#FormItemlabelCol').val(c.FormItem.labelCol);        }   </v>
      </c>
    </row>
    <row r="23" customHeight="1" spans="1:18">
      <c r="A23" s="34" t="s">
        <v>49</v>
      </c>
      <c r="B23" s="40" t="s">
        <v>50</v>
      </c>
      <c r="C23" s="39" t="s">
        <v>43</v>
      </c>
      <c r="D23" s="41"/>
      <c r="E23" s="33"/>
      <c r="F23" s="33"/>
      <c r="G23" s="33" t="str">
        <f t="shared" si="4"/>
        <v>pFormItemwrapperCol</v>
      </c>
      <c r="H23" s="33" t="str">
        <f t="shared" si="5"/>
        <v>uFormItemwrapperCol</v>
      </c>
      <c r="I23" s="33" t="s">
        <v>168</v>
      </c>
      <c r="J23" s="33" t="str">
        <f t="shared" si="6"/>
        <v>wrapperCol</v>
      </c>
      <c r="K23" s="33" t="s">
        <v>189</v>
      </c>
      <c r="L23" s="33" t="str">
        <f t="shared" si="7"/>
        <v>需要为输入控件设置布局样式时，使用该属性，用法同 labelCol</v>
      </c>
      <c r="M23" s="33"/>
      <c r="N23" s="33" t="s">
        <v>168</v>
      </c>
      <c r="O23" s="33" t="str">
        <f>CreateFormHtml(I23,J23,K23,L23,M23)</f>
        <v>&lt;li class="left half hide" id="pFormItemwrapperCol"&gt;&lt;label class="desc" for="FormItemwrapperCol"&gt;FormItem wrapperCol&lt;a href="#" class="help" title="FormItem wrapperCol" rel="需要为输入控件设置布局样式时，使用该属性，用法同 labelCol"&gt;(?)&lt;/a&gt;&lt;/label&gt;&lt;input id="FormItemwrapperCol" name="FormItemwrapperCol"  class="xxl"&gt;&lt;/li&gt;</v>
      </c>
      <c r="P23" s="33" t="str">
        <f>CreateFormJson(I23,J23,K23,L23,M23,N23)</f>
        <v>var uFormItemwrapperCol= function() {F[IDX].FormItem.wrapperCol = $.trim($(this).val());CHANGED = true};$('#FormItemwrapperCol').bind({  keyup: uFormItemwrapperCol,  change: uFormItemwrapperCol});</v>
      </c>
      <c r="Q23" s="33"/>
      <c r="R23" t="str">
        <f>setPropertieValues(I23,J23,N23)</f>
        <v>if (c.FormItem) {      $('#FormItemwrapperCol').val(c.FormItem.wrapperCol);        }   </v>
      </c>
    </row>
    <row r="24" customHeight="1" spans="1:18">
      <c r="A24" s="42" t="s">
        <v>51</v>
      </c>
      <c r="B24" s="33" t="s">
        <v>52</v>
      </c>
      <c r="C24" s="36" t="s">
        <v>48</v>
      </c>
      <c r="D24" s="33"/>
      <c r="E24" s="33"/>
      <c r="F24" s="33"/>
      <c r="G24" s="33" t="str">
        <f t="shared" si="4"/>
        <v>pFormItemtype</v>
      </c>
      <c r="H24" s="33" t="str">
        <f t="shared" si="5"/>
        <v>uFormItemtype</v>
      </c>
      <c r="I24" s="33" t="s">
        <v>168</v>
      </c>
      <c r="J24" s="33" t="str">
        <f t="shared" si="6"/>
        <v>type</v>
      </c>
      <c r="K24" s="33" t="s">
        <v>189</v>
      </c>
      <c r="L24" s="33" t="str">
        <f t="shared" si="7"/>
        <v>(输入框的类型先完成Input和Button 默认是Input,如果是Button就不用 getFieldDecorator)</v>
      </c>
      <c r="M24" s="33"/>
      <c r="N24" s="33" t="s">
        <v>168</v>
      </c>
      <c r="O24" s="33" t="str">
        <f>CreateFormHtml(I24,J24,K24,L24,M24)</f>
        <v>&lt;li class="left half hide" id="pFormItemtype"&gt;&lt;label class="desc" for="FormItemtype"&gt;FormItem type&lt;a href="#" class="help" title="FormItem type" rel="(输入框的类型先完成Input和Button 默认是Input,如果是Button就不用 getFieldDecorator)"&gt;(?)&lt;/a&gt;&lt;/label&gt;&lt;input id="FormItemtype" name="FormItemtype"  class="xxl"&gt;&lt;/li&gt;</v>
      </c>
      <c r="P24" s="33" t="str">
        <f>CreateFormJson(I24,J24,K24,L24,M24,N24)</f>
        <v>var uFormItemtype= function() {F[IDX].FormItem.type = $.trim($(this).val());CHANGED = true};$('#FormItemtype').bind({  keyup: uFormItemtype,  change: uFormItemtype});</v>
      </c>
      <c r="Q24" s="33"/>
      <c r="R24" t="str">
        <f>setPropertieValues(I24,J24,N24)</f>
        <v>if (c.FormItem) {      $('#FormItemtype').val(c.FormItem.type);        }   </v>
      </c>
    </row>
    <row r="25" customHeight="1" spans="1:18">
      <c r="A25" t="s">
        <v>161</v>
      </c>
      <c r="C25" s="36" t="s">
        <v>48</v>
      </c>
      <c r="G25" s="33" t="str">
        <f t="shared" si="4"/>
        <v>pFormItemname</v>
      </c>
      <c r="H25" s="33" t="str">
        <f t="shared" si="5"/>
        <v>uFormItemname</v>
      </c>
      <c r="I25" s="33" t="s">
        <v>168</v>
      </c>
      <c r="J25" s="33" t="str">
        <f t="shared" si="6"/>
        <v>name</v>
      </c>
      <c r="K25" s="33" t="s">
        <v>189</v>
      </c>
      <c r="L25" s="33" t="s">
        <v>198</v>
      </c>
      <c r="M25" s="33"/>
      <c r="N25" s="33" t="s">
        <v>168</v>
      </c>
      <c r="O25" s="33" t="str">
        <f>CreateFormHtml(I25,J25,K25,L25,M25)</f>
        <v>&lt;li class="left half hide" id="pFormItemname"&gt;&lt;label class="desc" for="FormItemname"&gt;FormItem name&lt;a href="#" class="help" title="FormItem name" rel="设置控件的名称和Dom Id(不可以重复,不能包含特殊符号,且是英文,)"&gt;(?)&lt;/a&gt;&lt;/label&gt;&lt;input id="FormItemname" name="FormItemname"  class="xxl"&gt;&lt;/li&gt;</v>
      </c>
      <c r="P25" s="33" t="str">
        <f>CreateFormJson(I25,J25,K25,L25,M25,N25)</f>
        <v>var uFormItemname= function() {F[IDX].FormItem.name = $.trim($(this).val());CHANGED = true};$('#FormItemname').bind({  keyup: uFormItemname,  change: uFormItemname});</v>
      </c>
      <c r="Q25" s="33"/>
      <c r="R25" t="str">
        <f>setPropertieValues(I25,J25,N25)</f>
        <v>if (c.FormItem) {      $('#FormItemname').val(c.FormItem.name);        }   </v>
      </c>
    </row>
  </sheetData>
  <dataValidations count="1">
    <dataValidation type="list" allowBlank="1" showInputMessage="1" showErrorMessage="1" sqref="K5 K19 K6:K15 K20:K23 K24:K25">
      <formula1>"文本,下拉框"</formula1>
    </dataValidation>
  </dataValidations>
  <hyperlinks>
    <hyperlink ref="B13" r:id="rId1" display="内建校验类型，可选项"/>
    <hyperlink ref="B14" r:id="rId2" display="自定义校验（注意，callback 必须被调用）" tooltip="https://github.com/ant-design/ant-design/issues/5155"/>
    <hyperlink ref="C22" r:id="rId3" display="object"/>
    <hyperlink ref="C23" r:id="rId3" display="object"/>
  </hyperlink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8"/>
  <sheetViews>
    <sheetView workbookViewId="0">
      <selection activeCell="C21" sqref="C21"/>
    </sheetView>
  </sheetViews>
  <sheetFormatPr defaultColWidth="17.625" defaultRowHeight="13.5" outlineLevelRow="7" outlineLevelCol="3"/>
  <cols>
    <col min="1" max="1" width="17.625" customWidth="1"/>
    <col min="2" max="2" width="35.625" customWidth="1"/>
    <col min="3" max="3" width="34.5" customWidth="1"/>
    <col min="4" max="16384" width="17.625" customWidth="1"/>
  </cols>
  <sheetData>
    <row r="1" spans="2:4">
      <c r="B1" t="s">
        <v>186</v>
      </c>
      <c r="C1" t="s">
        <v>199</v>
      </c>
      <c r="D1" t="s">
        <v>200</v>
      </c>
    </row>
    <row r="2" spans="1:4">
      <c r="A2" t="s">
        <v>201</v>
      </c>
      <c r="B2" t="str">
        <f>CONCATENATE(",""",A2,"""",":","""""")</f>
        <v>,"pFormItemcolon":""</v>
      </c>
      <c r="C2" t="str">
        <f>"'"&amp;A2&amp;"',"</f>
        <v>'pFormItemcolon',</v>
      </c>
      <c r="D2" t="e">
        <f>CONCATENATE(#REF!,"=","""""")</f>
        <v>#REF!</v>
      </c>
    </row>
    <row r="3" spans="1:4">
      <c r="A3" t="s">
        <v>202</v>
      </c>
      <c r="B3" t="str">
        <f t="shared" ref="B3:B8" si="0">CONCATENATE(",""",A3,"""",":","""""")</f>
        <v>,"pFormItemextra":""</v>
      </c>
      <c r="C3" t="str">
        <f t="shared" ref="C3:C8" si="1">"'"&amp;A3&amp;"',"</f>
        <v>'pFormItemextra',</v>
      </c>
      <c r="D3" t="e">
        <f>CONCATENATE(#REF!,"=","""""")</f>
        <v>#REF!</v>
      </c>
    </row>
    <row r="4" spans="1:4">
      <c r="A4" t="s">
        <v>203</v>
      </c>
      <c r="B4" t="str">
        <f t="shared" si="0"/>
        <v>,"pFormItemlabel":""</v>
      </c>
      <c r="C4" t="str">
        <f t="shared" si="1"/>
        <v>'pFormItemlabel',</v>
      </c>
      <c r="D4" t="e">
        <f>CONCATENATE(#REF!,"=","""""")</f>
        <v>#REF!</v>
      </c>
    </row>
    <row r="5" spans="1:4">
      <c r="A5" t="s">
        <v>204</v>
      </c>
      <c r="B5" t="str">
        <f t="shared" si="0"/>
        <v>,"pFormItemlabelCol":""</v>
      </c>
      <c r="C5" t="str">
        <f t="shared" si="1"/>
        <v>'pFormItemlabelCol',</v>
      </c>
      <c r="D5" t="e">
        <f>CONCATENATE(#REF!,"=","""""")</f>
        <v>#REF!</v>
      </c>
    </row>
    <row r="6" spans="1:4">
      <c r="A6" t="s">
        <v>205</v>
      </c>
      <c r="B6" t="str">
        <f t="shared" si="0"/>
        <v>,"pFormItemwrapperCol":""</v>
      </c>
      <c r="C6" t="str">
        <f t="shared" si="1"/>
        <v>'pFormItemwrapperCol',</v>
      </c>
      <c r="D6" t="e">
        <f>CONCATENATE(#REF!,"=","""""")</f>
        <v>#REF!</v>
      </c>
    </row>
    <row r="7" spans="1:4">
      <c r="A7" t="s">
        <v>206</v>
      </c>
      <c r="B7" t="str">
        <f t="shared" si="0"/>
        <v>,"pFormItemtype":""</v>
      </c>
      <c r="C7" t="str">
        <f t="shared" si="1"/>
        <v>'pFormItemtype',</v>
      </c>
      <c r="D7" t="e">
        <f>CONCATENATE(#REF!,"=","""""")</f>
        <v>#REF!</v>
      </c>
    </row>
    <row r="8" spans="1:4">
      <c r="A8" t="s">
        <v>207</v>
      </c>
      <c r="B8" t="str">
        <f t="shared" si="0"/>
        <v>,"pFormItemname":""</v>
      </c>
      <c r="C8" t="str">
        <f t="shared" si="1"/>
        <v>'pFormItemname',</v>
      </c>
      <c r="D8" t="e">
        <f>CONCATENATE(#REF!,"=","""""")</f>
        <v>#REF!</v>
      </c>
    </row>
  </sheetData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F205"/>
  <sheetViews>
    <sheetView topLeftCell="A184" workbookViewId="0">
      <selection activeCell="D202" sqref="D202"/>
    </sheetView>
  </sheetViews>
  <sheetFormatPr defaultColWidth="9" defaultRowHeight="20" customHeight="1" outlineLevelCol="5"/>
  <cols>
    <col min="1" max="1" width="49.875" customWidth="1"/>
    <col min="3" max="3" width="24.75" customWidth="1"/>
    <col min="4" max="4" width="40.75" style="20" customWidth="1"/>
    <col min="5" max="5" width="30.625" customWidth="1"/>
    <col min="6" max="6" width="18.625" customWidth="1"/>
  </cols>
  <sheetData>
    <row r="1" customHeight="1" spans="1:1">
      <c r="A1" s="9" t="s">
        <v>208</v>
      </c>
    </row>
    <row r="2" customHeight="1" spans="1:1">
      <c r="A2" t="s">
        <v>209</v>
      </c>
    </row>
    <row r="3" customHeight="1" spans="2:6">
      <c r="B3" t="s">
        <v>210</v>
      </c>
      <c r="C3" s="2" t="s">
        <v>211</v>
      </c>
      <c r="D3" s="21" t="s">
        <v>172</v>
      </c>
      <c r="E3" s="2" t="s">
        <v>173</v>
      </c>
      <c r="F3" s="2" t="s">
        <v>174</v>
      </c>
    </row>
    <row r="4" customHeight="1" spans="3:6">
      <c r="C4" s="3" t="s">
        <v>212</v>
      </c>
      <c r="D4" s="22" t="s">
        <v>213</v>
      </c>
      <c r="E4" s="5" t="s">
        <v>34</v>
      </c>
      <c r="F4" s="5"/>
    </row>
    <row r="5" customHeight="1" spans="3:6">
      <c r="C5" s="3" t="s">
        <v>214</v>
      </c>
      <c r="D5" s="22" t="s">
        <v>215</v>
      </c>
      <c r="E5" s="5" t="s">
        <v>34</v>
      </c>
      <c r="F5" s="5"/>
    </row>
    <row r="6" customHeight="1" spans="3:6">
      <c r="C6" s="13" t="s">
        <v>216</v>
      </c>
      <c r="D6" s="22" t="s">
        <v>217</v>
      </c>
      <c r="E6" s="5" t="s">
        <v>48</v>
      </c>
      <c r="F6" s="5"/>
    </row>
    <row r="7" customHeight="1" spans="3:6">
      <c r="C7" s="3" t="s">
        <v>218</v>
      </c>
      <c r="D7" s="22" t="s">
        <v>219</v>
      </c>
      <c r="E7" s="5" t="s">
        <v>31</v>
      </c>
      <c r="F7" s="5" t="b">
        <v>0</v>
      </c>
    </row>
    <row r="8" customHeight="1" spans="3:6">
      <c r="C8" s="3" t="s">
        <v>56</v>
      </c>
      <c r="D8" s="22" t="s">
        <v>220</v>
      </c>
      <c r="E8" s="5" t="s">
        <v>48</v>
      </c>
      <c r="F8" s="5"/>
    </row>
    <row r="9" customHeight="1" spans="3:6">
      <c r="C9" s="3" t="s">
        <v>221</v>
      </c>
      <c r="D9" s="22" t="s">
        <v>222</v>
      </c>
      <c r="E9" s="5" t="s">
        <v>34</v>
      </c>
      <c r="F9" s="5"/>
    </row>
    <row r="10" customHeight="1" spans="3:6">
      <c r="C10" s="3" t="s">
        <v>223</v>
      </c>
      <c r="D10" s="22" t="s">
        <v>224</v>
      </c>
      <c r="E10" s="5" t="s">
        <v>48</v>
      </c>
      <c r="F10" s="6" t="s">
        <v>225</v>
      </c>
    </row>
    <row r="11" customHeight="1" spans="3:6">
      <c r="C11" s="3" t="s">
        <v>226</v>
      </c>
      <c r="D11" s="22" t="s">
        <v>227</v>
      </c>
      <c r="E11" s="5" t="s">
        <v>34</v>
      </c>
      <c r="F11" s="5"/>
    </row>
    <row r="12" ht="63" customHeight="1" spans="3:6">
      <c r="C12" s="23" t="s">
        <v>51</v>
      </c>
      <c r="D12" s="24" t="s">
        <v>228</v>
      </c>
      <c r="E12" s="25"/>
      <c r="F12" s="26" t="s">
        <v>229</v>
      </c>
    </row>
    <row r="13" customHeight="1" spans="3:6">
      <c r="C13" s="3" t="s">
        <v>230</v>
      </c>
      <c r="D13" s="22" t="s">
        <v>231</v>
      </c>
      <c r="E13" s="5" t="s">
        <v>48</v>
      </c>
      <c r="F13" s="5"/>
    </row>
    <row r="14" customHeight="1" spans="3:6">
      <c r="C14" s="3" t="s">
        <v>232</v>
      </c>
      <c r="D14" s="22" t="s">
        <v>233</v>
      </c>
      <c r="E14" s="5" t="s">
        <v>234</v>
      </c>
      <c r="F14" s="5"/>
    </row>
    <row r="16" customHeight="1" spans="1:2">
      <c r="A16">
        <v>1</v>
      </c>
      <c r="B16" t="s">
        <v>235</v>
      </c>
    </row>
    <row r="17" customHeight="1" spans="3:6">
      <c r="C17" s="2" t="s">
        <v>211</v>
      </c>
      <c r="D17" s="21" t="s">
        <v>172</v>
      </c>
      <c r="E17" s="2" t="s">
        <v>173</v>
      </c>
      <c r="F17" s="2" t="s">
        <v>174</v>
      </c>
    </row>
    <row r="18" customHeight="1" spans="3:6">
      <c r="C18" s="3" t="s">
        <v>236</v>
      </c>
      <c r="D18" s="22" t="s">
        <v>237</v>
      </c>
      <c r="E18" s="5" t="s">
        <v>31</v>
      </c>
      <c r="F18" s="5" t="b">
        <v>0</v>
      </c>
    </row>
    <row r="19" customHeight="1" spans="3:6">
      <c r="C19" s="3" t="s">
        <v>238</v>
      </c>
      <c r="D19" s="22" t="s">
        <v>239</v>
      </c>
      <c r="E19" s="5" t="s">
        <v>31</v>
      </c>
      <c r="F19" s="5" t="b">
        <v>0</v>
      </c>
    </row>
    <row r="20" customHeight="1" spans="3:6">
      <c r="C20" s="3" t="s">
        <v>240</v>
      </c>
      <c r="D20" s="22" t="s">
        <v>241</v>
      </c>
      <c r="E20" s="5" t="s">
        <v>31</v>
      </c>
      <c r="F20" s="5" t="b">
        <v>0</v>
      </c>
    </row>
    <row r="21" customHeight="1" spans="3:6">
      <c r="C21" s="3" t="s">
        <v>242</v>
      </c>
      <c r="D21" s="22" t="s">
        <v>243</v>
      </c>
      <c r="E21" s="5" t="s">
        <v>31</v>
      </c>
      <c r="F21" s="5" t="b">
        <v>1</v>
      </c>
    </row>
    <row r="22" customHeight="1" spans="3:6">
      <c r="C22" s="13" t="s">
        <v>216</v>
      </c>
      <c r="D22" s="22" t="s">
        <v>244</v>
      </c>
      <c r="E22" s="5" t="s">
        <v>245</v>
      </c>
      <c r="F22" s="5" t="s">
        <v>67</v>
      </c>
    </row>
    <row r="23" customHeight="1" spans="3:6">
      <c r="C23" s="3" t="s">
        <v>218</v>
      </c>
      <c r="D23" s="22" t="s">
        <v>246</v>
      </c>
      <c r="E23" s="5" t="s">
        <v>31</v>
      </c>
      <c r="F23" s="5" t="b">
        <v>0</v>
      </c>
    </row>
    <row r="24" customHeight="1" spans="3:6">
      <c r="C24" s="3" t="s">
        <v>247</v>
      </c>
      <c r="D24" s="22" t="s">
        <v>248</v>
      </c>
      <c r="E24" s="5" t="s">
        <v>48</v>
      </c>
      <c r="F24" s="5" t="s">
        <v>67</v>
      </c>
    </row>
    <row r="25" customHeight="1" spans="3:6">
      <c r="C25" s="3" t="s">
        <v>249</v>
      </c>
      <c r="D25" s="22" t="s">
        <v>250</v>
      </c>
      <c r="E25" s="5" t="s">
        <v>31</v>
      </c>
      <c r="F25" s="5" t="b">
        <v>1</v>
      </c>
    </row>
    <row r="26" customHeight="1" spans="3:6">
      <c r="C26" s="3" t="s">
        <v>251</v>
      </c>
      <c r="D26" s="22" t="s">
        <v>252</v>
      </c>
      <c r="E26" s="5" t="s">
        <v>43</v>
      </c>
      <c r="F26" s="5" t="s">
        <v>67</v>
      </c>
    </row>
    <row r="27" customHeight="1" spans="3:6">
      <c r="C27" s="3" t="s">
        <v>253</v>
      </c>
      <c r="D27" s="22" t="s">
        <v>254</v>
      </c>
      <c r="E27" s="5" t="s">
        <v>255</v>
      </c>
      <c r="F27" s="5" t="b">
        <v>1</v>
      </c>
    </row>
    <row r="28" customHeight="1" spans="3:6">
      <c r="C28" s="3" t="s">
        <v>256</v>
      </c>
      <c r="D28" s="22" t="s">
        <v>257</v>
      </c>
      <c r="E28" s="5" t="s">
        <v>103</v>
      </c>
      <c r="F28" s="5" t="s">
        <v>67</v>
      </c>
    </row>
    <row r="29" customHeight="1" spans="3:6">
      <c r="C29" s="3" t="s">
        <v>258</v>
      </c>
      <c r="D29" s="22" t="s">
        <v>259</v>
      </c>
      <c r="E29" s="5" t="s">
        <v>260</v>
      </c>
      <c r="F29" s="5" t="s">
        <v>261</v>
      </c>
    </row>
    <row r="30" customHeight="1" spans="3:6">
      <c r="C30" s="3" t="s">
        <v>262</v>
      </c>
      <c r="D30" s="22" t="s">
        <v>263</v>
      </c>
      <c r="E30" s="5" t="s">
        <v>31</v>
      </c>
      <c r="F30" s="5" t="b">
        <v>0</v>
      </c>
    </row>
    <row r="31" customHeight="1" spans="3:6">
      <c r="C31" s="3" t="s">
        <v>264</v>
      </c>
      <c r="D31" s="22" t="s">
        <v>265</v>
      </c>
      <c r="E31" s="5" t="s">
        <v>75</v>
      </c>
      <c r="F31" s="5" t="s">
        <v>67</v>
      </c>
    </row>
    <row r="32" customHeight="1" spans="3:6">
      <c r="C32" s="3" t="s">
        <v>266</v>
      </c>
      <c r="D32" s="22" t="s">
        <v>267</v>
      </c>
      <c r="E32" s="5" t="s">
        <v>268</v>
      </c>
      <c r="F32" s="5" t="s">
        <v>67</v>
      </c>
    </row>
    <row r="33" customHeight="1" spans="3:6">
      <c r="C33" s="3" t="s">
        <v>269</v>
      </c>
      <c r="D33" s="22" t="s">
        <v>270</v>
      </c>
      <c r="E33" s="5" t="s">
        <v>271</v>
      </c>
      <c r="F33" s="5" t="s">
        <v>67</v>
      </c>
    </row>
    <row r="34" customHeight="1" spans="3:6">
      <c r="C34" s="3" t="s">
        <v>272</v>
      </c>
      <c r="D34" s="22" t="s">
        <v>273</v>
      </c>
      <c r="E34" s="5" t="s">
        <v>31</v>
      </c>
      <c r="F34" s="5" t="b">
        <v>0</v>
      </c>
    </row>
    <row r="35" customHeight="1" spans="3:6">
      <c r="C35" s="3" t="s">
        <v>274</v>
      </c>
      <c r="D35" s="22" t="s">
        <v>275</v>
      </c>
      <c r="E35" s="5" t="s">
        <v>48</v>
      </c>
      <c r="F35" s="5" t="s">
        <v>276</v>
      </c>
    </row>
    <row r="36" customHeight="1" spans="3:6">
      <c r="C36" s="3" t="s">
        <v>277</v>
      </c>
      <c r="D36" s="22" t="s">
        <v>278</v>
      </c>
      <c r="E36" s="5" t="s">
        <v>48</v>
      </c>
      <c r="F36" s="5" t="s">
        <v>230</v>
      </c>
    </row>
    <row r="37" customHeight="1" spans="3:6">
      <c r="C37" s="3" t="s">
        <v>279</v>
      </c>
      <c r="D37" s="22" t="s">
        <v>280</v>
      </c>
      <c r="E37" s="5" t="s">
        <v>48</v>
      </c>
      <c r="F37" s="6" t="s">
        <v>281</v>
      </c>
    </row>
    <row r="38" customHeight="1" spans="3:6">
      <c r="C38" s="3" t="s">
        <v>282</v>
      </c>
      <c r="D38" s="22" t="s">
        <v>283</v>
      </c>
      <c r="E38" s="5" t="s">
        <v>48</v>
      </c>
      <c r="F38" s="5" t="s">
        <v>67</v>
      </c>
    </row>
    <row r="39" customHeight="1" spans="3:6">
      <c r="C39" s="3" t="s">
        <v>284</v>
      </c>
      <c r="D39" s="22" t="s">
        <v>285</v>
      </c>
      <c r="E39" s="5" t="s">
        <v>31</v>
      </c>
      <c r="F39" s="5" t="b">
        <v>0</v>
      </c>
    </row>
    <row r="40" customHeight="1" spans="3:6">
      <c r="C40" s="3" t="s">
        <v>286</v>
      </c>
      <c r="D40" s="22" t="s">
        <v>287</v>
      </c>
      <c r="E40" s="5" t="s">
        <v>31</v>
      </c>
      <c r="F40" s="5" t="b">
        <v>1</v>
      </c>
    </row>
    <row r="41" customHeight="1" spans="3:6">
      <c r="C41" s="3" t="s">
        <v>223</v>
      </c>
      <c r="D41" s="22" t="s">
        <v>288</v>
      </c>
      <c r="E41" s="5" t="s">
        <v>48</v>
      </c>
      <c r="F41" s="5" t="s">
        <v>225</v>
      </c>
    </row>
    <row r="42" ht="47" customHeight="1" spans="3:6">
      <c r="C42" s="27" t="s">
        <v>289</v>
      </c>
      <c r="D42" s="22" t="s">
        <v>290</v>
      </c>
      <c r="E42" s="5" t="s">
        <v>31</v>
      </c>
      <c r="F42" s="5" t="b">
        <v>0</v>
      </c>
    </row>
    <row r="43" customHeight="1" spans="3:6">
      <c r="C43" s="3" t="s">
        <v>291</v>
      </c>
      <c r="D43" s="22" t="s">
        <v>292</v>
      </c>
      <c r="E43" s="5" t="s">
        <v>293</v>
      </c>
      <c r="F43" s="5"/>
    </row>
    <row r="44" customHeight="1" spans="3:6">
      <c r="C44" s="3" t="s">
        <v>230</v>
      </c>
      <c r="D44" s="22" t="s">
        <v>294</v>
      </c>
      <c r="E44" s="5" t="s">
        <v>245</v>
      </c>
      <c r="F44" s="5" t="s">
        <v>67</v>
      </c>
    </row>
    <row r="45" customHeight="1" spans="3:6">
      <c r="C45" s="3" t="s">
        <v>295</v>
      </c>
      <c r="D45" s="22" t="s">
        <v>296</v>
      </c>
      <c r="E45" s="5" t="s">
        <v>297</v>
      </c>
      <c r="F45" s="5" t="s">
        <v>67</v>
      </c>
    </row>
    <row r="46" customHeight="1" spans="3:6">
      <c r="C46" s="3" t="s">
        <v>298</v>
      </c>
      <c r="D46" s="22" t="s">
        <v>299</v>
      </c>
      <c r="E46" s="5" t="s">
        <v>300</v>
      </c>
      <c r="F46" s="5" t="s">
        <v>67</v>
      </c>
    </row>
    <row r="47" customHeight="1" spans="3:6">
      <c r="C47" s="3" t="s">
        <v>301</v>
      </c>
      <c r="D47" s="22" t="s">
        <v>302</v>
      </c>
      <c r="E47" s="5" t="s">
        <v>303</v>
      </c>
      <c r="F47" s="5" t="s">
        <v>67</v>
      </c>
    </row>
    <row r="48" customHeight="1" spans="3:6">
      <c r="C48" s="3" t="s">
        <v>304</v>
      </c>
      <c r="D48" s="22" t="s">
        <v>305</v>
      </c>
      <c r="E48" s="5" t="s">
        <v>297</v>
      </c>
      <c r="F48" s="5" t="s">
        <v>67</v>
      </c>
    </row>
    <row r="49" customHeight="1" spans="3:6">
      <c r="C49" s="3" t="s">
        <v>306</v>
      </c>
      <c r="D49" s="22" t="s">
        <v>307</v>
      </c>
      <c r="E49" s="5" t="s">
        <v>297</v>
      </c>
      <c r="F49" s="5" t="s">
        <v>67</v>
      </c>
    </row>
    <row r="50" customHeight="1" spans="3:6">
      <c r="C50" s="3" t="s">
        <v>308</v>
      </c>
      <c r="D50" s="22" t="s">
        <v>309</v>
      </c>
      <c r="E50" s="5" t="s">
        <v>297</v>
      </c>
      <c r="F50" s="5" t="s">
        <v>67</v>
      </c>
    </row>
    <row r="51" customHeight="1" spans="3:6">
      <c r="C51" s="3" t="s">
        <v>310</v>
      </c>
      <c r="D51" s="22" t="s">
        <v>311</v>
      </c>
      <c r="E51" s="5" t="s">
        <v>297</v>
      </c>
      <c r="F51" s="5" t="s">
        <v>67</v>
      </c>
    </row>
    <row r="52" customHeight="1" spans="3:6">
      <c r="C52" s="3" t="s">
        <v>312</v>
      </c>
      <c r="D52" s="22" t="s">
        <v>313</v>
      </c>
      <c r="E52" s="5" t="s">
        <v>314</v>
      </c>
      <c r="F52" s="5"/>
    </row>
    <row r="53" customHeight="1" spans="3:6">
      <c r="C53" s="3" t="s">
        <v>315</v>
      </c>
      <c r="D53" s="22" t="s">
        <v>316</v>
      </c>
      <c r="E53" s="5" t="s">
        <v>317</v>
      </c>
      <c r="F53" s="5" t="s">
        <v>67</v>
      </c>
    </row>
    <row r="54" ht="30" customHeight="1" spans="3:3">
      <c r="C54" s="8" t="s">
        <v>318</v>
      </c>
    </row>
    <row r="55" customHeight="1" spans="3:3">
      <c r="C55" s="12" t="s">
        <v>319</v>
      </c>
    </row>
    <row r="56" customHeight="1" spans="3:4">
      <c r="C56" s="2" t="s">
        <v>320</v>
      </c>
      <c r="D56" s="21" t="s">
        <v>172</v>
      </c>
    </row>
    <row r="57" customHeight="1" spans="3:4">
      <c r="C57" s="3" t="s">
        <v>321</v>
      </c>
      <c r="D57" s="22" t="s">
        <v>322</v>
      </c>
    </row>
    <row r="58" customHeight="1" spans="3:4">
      <c r="C58" s="3" t="s">
        <v>323</v>
      </c>
      <c r="D58" s="22" t="s">
        <v>324</v>
      </c>
    </row>
    <row r="59" customHeight="1" spans="3:3">
      <c r="C59" s="12" t="s">
        <v>325</v>
      </c>
    </row>
    <row r="60" customHeight="1" spans="3:6">
      <c r="C60" s="2" t="s">
        <v>211</v>
      </c>
      <c r="D60" s="21" t="s">
        <v>172</v>
      </c>
      <c r="E60" s="2" t="s">
        <v>173</v>
      </c>
      <c r="F60" s="2" t="s">
        <v>174</v>
      </c>
    </row>
    <row r="61" customHeight="1" spans="3:6">
      <c r="C61" s="3" t="s">
        <v>218</v>
      </c>
      <c r="D61" s="22" t="s">
        <v>246</v>
      </c>
      <c r="E61" s="5" t="s">
        <v>31</v>
      </c>
      <c r="F61" s="5" t="b">
        <v>0</v>
      </c>
    </row>
    <row r="62" customHeight="1" spans="3:6">
      <c r="C62" s="3" t="s">
        <v>326</v>
      </c>
      <c r="D62" s="22" t="s">
        <v>327</v>
      </c>
      <c r="E62" s="5" t="s">
        <v>48</v>
      </c>
      <c r="F62" s="5"/>
    </row>
    <row r="63" customHeight="1" spans="3:6">
      <c r="C63" s="3" t="s">
        <v>328</v>
      </c>
      <c r="D63" s="22" t="s">
        <v>329</v>
      </c>
      <c r="E63" s="5" t="s">
        <v>48</v>
      </c>
      <c r="F63" s="5" t="s">
        <v>67</v>
      </c>
    </row>
    <row r="64" customHeight="1" spans="3:6">
      <c r="C64" s="3" t="s">
        <v>230</v>
      </c>
      <c r="D64" s="22" t="s">
        <v>330</v>
      </c>
      <c r="E64" s="5" t="s">
        <v>331</v>
      </c>
      <c r="F64" s="5" t="s">
        <v>67</v>
      </c>
    </row>
    <row r="65" customHeight="1" spans="3:4">
      <c r="C65" s="12" t="s">
        <v>332</v>
      </c>
      <c r="D65" s="20" t="s">
        <v>333</v>
      </c>
    </row>
    <row r="66" customHeight="1" spans="3:6">
      <c r="C66" s="2" t="s">
        <v>211</v>
      </c>
      <c r="D66" s="21" t="s">
        <v>172</v>
      </c>
      <c r="E66" s="2" t="s">
        <v>173</v>
      </c>
      <c r="F66" s="2" t="s">
        <v>174</v>
      </c>
    </row>
    <row r="67" customHeight="1" spans="3:6">
      <c r="C67" s="3" t="s">
        <v>326</v>
      </c>
      <c r="D67" s="28"/>
      <c r="E67" s="5" t="s">
        <v>48</v>
      </c>
      <c r="F67" s="5" t="s">
        <v>67</v>
      </c>
    </row>
    <row r="68" customHeight="1" spans="3:6">
      <c r="C68" s="3" t="s">
        <v>39</v>
      </c>
      <c r="D68" s="22" t="s">
        <v>334</v>
      </c>
      <c r="E68" s="5" t="s">
        <v>335</v>
      </c>
      <c r="F68" s="5" t="s">
        <v>336</v>
      </c>
    </row>
    <row r="70" customHeight="1" spans="2:2">
      <c r="B70" t="s">
        <v>337</v>
      </c>
    </row>
    <row r="71" customHeight="1" spans="3:6">
      <c r="C71" s="2" t="s">
        <v>338</v>
      </c>
      <c r="D71" s="2" t="s">
        <v>172</v>
      </c>
      <c r="E71" s="2" t="s">
        <v>173</v>
      </c>
      <c r="F71" s="2" t="s">
        <v>174</v>
      </c>
    </row>
    <row r="72" customHeight="1" spans="3:6">
      <c r="C72" s="3" t="s">
        <v>238</v>
      </c>
      <c r="D72" s="4" t="s">
        <v>339</v>
      </c>
      <c r="E72" s="5" t="s">
        <v>31</v>
      </c>
      <c r="F72" s="5" t="b">
        <v>0</v>
      </c>
    </row>
    <row r="73" customHeight="1" spans="3:6">
      <c r="C73" s="3" t="s">
        <v>216</v>
      </c>
      <c r="D73" s="4" t="s">
        <v>340</v>
      </c>
      <c r="E73" s="5" t="s">
        <v>75</v>
      </c>
      <c r="F73" s="5"/>
    </row>
    <row r="74" customHeight="1" spans="3:6">
      <c r="C74" s="3" t="s">
        <v>218</v>
      </c>
      <c r="D74" s="4" t="s">
        <v>341</v>
      </c>
      <c r="E74" s="5" t="s">
        <v>31</v>
      </c>
      <c r="F74" s="5" t="b">
        <v>0</v>
      </c>
    </row>
    <row r="75" ht="28" customHeight="1" spans="3:6">
      <c r="C75" s="3" t="s">
        <v>342</v>
      </c>
      <c r="D75" s="4" t="s">
        <v>343</v>
      </c>
      <c r="E75" s="5" t="s">
        <v>344</v>
      </c>
      <c r="F75" s="5" t="s">
        <v>67</v>
      </c>
    </row>
    <row r="76" customHeight="1" spans="3:6">
      <c r="C76" s="3" t="s">
        <v>76</v>
      </c>
      <c r="D76" s="4" t="s">
        <v>345</v>
      </c>
      <c r="E76" s="5" t="s">
        <v>75</v>
      </c>
      <c r="F76" s="5" t="s">
        <v>346</v>
      </c>
    </row>
    <row r="77" customHeight="1" spans="3:6">
      <c r="C77" s="3" t="s">
        <v>80</v>
      </c>
      <c r="D77" s="4" t="s">
        <v>347</v>
      </c>
      <c r="E77" s="5" t="s">
        <v>75</v>
      </c>
      <c r="F77" s="5" t="s">
        <v>348</v>
      </c>
    </row>
    <row r="78" customHeight="1" spans="3:6">
      <c r="C78" s="3" t="s">
        <v>349</v>
      </c>
      <c r="D78" s="4" t="s">
        <v>350</v>
      </c>
      <c r="E78" s="5" t="s">
        <v>351</v>
      </c>
      <c r="F78" s="5" t="s">
        <v>67</v>
      </c>
    </row>
    <row r="79" customHeight="1" spans="3:6">
      <c r="C79" s="3" t="s">
        <v>352</v>
      </c>
      <c r="D79" s="4" t="s">
        <v>353</v>
      </c>
      <c r="E79" s="5" t="s">
        <v>75</v>
      </c>
      <c r="F79" s="5" t="s">
        <v>67</v>
      </c>
    </row>
    <row r="80" customHeight="1" spans="3:6">
      <c r="C80" s="3" t="s">
        <v>223</v>
      </c>
      <c r="D80" s="4" t="s">
        <v>354</v>
      </c>
      <c r="E80" s="5" t="s">
        <v>48</v>
      </c>
      <c r="F80" s="5" t="s">
        <v>336</v>
      </c>
    </row>
    <row r="81" customHeight="1" spans="3:6">
      <c r="C81" s="3" t="s">
        <v>355</v>
      </c>
      <c r="D81" s="4" t="s">
        <v>356</v>
      </c>
      <c r="E81" s="5" t="s">
        <v>357</v>
      </c>
      <c r="F81" s="5">
        <v>1</v>
      </c>
    </row>
    <row r="82" customHeight="1" spans="3:6">
      <c r="C82" s="3" t="s">
        <v>230</v>
      </c>
      <c r="D82" s="4" t="s">
        <v>358</v>
      </c>
      <c r="E82" s="5" t="s">
        <v>75</v>
      </c>
      <c r="F82" s="5"/>
    </row>
    <row r="83" customHeight="1" spans="3:6">
      <c r="C83" s="3" t="s">
        <v>298</v>
      </c>
      <c r="D83" s="4" t="s">
        <v>359</v>
      </c>
      <c r="E83" s="5" t="s">
        <v>360</v>
      </c>
      <c r="F83" s="5"/>
    </row>
    <row r="84" customHeight="1" spans="3:4">
      <c r="C84" s="1" t="s">
        <v>361</v>
      </c>
      <c r="D84"/>
    </row>
    <row r="85" customHeight="1" spans="3:4">
      <c r="C85" s="2" t="s">
        <v>320</v>
      </c>
      <c r="D85" s="2" t="s">
        <v>362</v>
      </c>
    </row>
    <row r="86" customHeight="1" spans="3:4">
      <c r="C86" s="3" t="s">
        <v>321</v>
      </c>
      <c r="D86" s="5" t="s">
        <v>363</v>
      </c>
    </row>
    <row r="87" customHeight="1" spans="3:4">
      <c r="C87" s="3" t="s">
        <v>323</v>
      </c>
      <c r="D87" s="5" t="s">
        <v>324</v>
      </c>
    </row>
    <row r="89" customHeight="1" spans="1:2">
      <c r="A89">
        <v>3</v>
      </c>
      <c r="B89" t="s">
        <v>364</v>
      </c>
    </row>
    <row r="90" customHeight="1" spans="3:6">
      <c r="C90" s="2" t="s">
        <v>211</v>
      </c>
      <c r="D90" s="2" t="s">
        <v>172</v>
      </c>
      <c r="E90" s="2" t="s">
        <v>173</v>
      </c>
      <c r="F90" s="2" t="s">
        <v>174</v>
      </c>
    </row>
    <row r="91" customHeight="1" spans="3:6">
      <c r="C91" s="3" t="s">
        <v>238</v>
      </c>
      <c r="D91" s="4" t="s">
        <v>365</v>
      </c>
      <c r="E91" s="5" t="s">
        <v>31</v>
      </c>
      <c r="F91" s="5" t="b">
        <v>0</v>
      </c>
    </row>
    <row r="92" customHeight="1" spans="3:6">
      <c r="C92" s="3" t="s">
        <v>366</v>
      </c>
      <c r="D92" s="4" t="s">
        <v>367</v>
      </c>
      <c r="E92" s="5" t="s">
        <v>31</v>
      </c>
      <c r="F92" s="5" t="b">
        <v>0</v>
      </c>
    </row>
    <row r="93" customHeight="1" spans="3:6">
      <c r="C93" s="3" t="s">
        <v>368</v>
      </c>
      <c r="D93" s="4" t="s">
        <v>369</v>
      </c>
      <c r="E93" s="5" t="s">
        <v>34</v>
      </c>
      <c r="F93" s="5"/>
    </row>
    <row r="94" customHeight="1" spans="3:6">
      <c r="C94" s="3" t="s">
        <v>370</v>
      </c>
      <c r="D94" s="4" t="s">
        <v>371</v>
      </c>
      <c r="E94" s="5" t="s">
        <v>31</v>
      </c>
      <c r="F94" s="5" t="b">
        <v>0</v>
      </c>
    </row>
    <row r="95" customHeight="1" spans="3:6">
      <c r="C95" s="3" t="s">
        <v>218</v>
      </c>
      <c r="D95" s="4" t="s">
        <v>246</v>
      </c>
      <c r="E95" s="5" t="s">
        <v>31</v>
      </c>
      <c r="F95" s="5" t="b">
        <v>0</v>
      </c>
    </row>
    <row r="96" customHeight="1" spans="3:6">
      <c r="C96" s="3" t="s">
        <v>372</v>
      </c>
      <c r="D96" s="4" t="s">
        <v>373</v>
      </c>
      <c r="E96" s="5" t="s">
        <v>31</v>
      </c>
      <c r="F96" s="5" t="b">
        <v>0</v>
      </c>
    </row>
    <row r="97" customHeight="1" spans="3:6">
      <c r="C97" s="3" t="s">
        <v>223</v>
      </c>
      <c r="D97" s="4" t="s">
        <v>374</v>
      </c>
      <c r="E97" s="5" t="s">
        <v>48</v>
      </c>
      <c r="F97" s="5" t="s">
        <v>225</v>
      </c>
    </row>
    <row r="98" customHeight="1" spans="3:6">
      <c r="C98" s="3" t="s">
        <v>375</v>
      </c>
      <c r="D98" s="4" t="s">
        <v>376</v>
      </c>
      <c r="E98" s="5" t="s">
        <v>34</v>
      </c>
      <c r="F98" s="5"/>
    </row>
    <row r="99" customHeight="1" spans="3:6">
      <c r="C99" s="3" t="s">
        <v>298</v>
      </c>
      <c r="D99" s="4" t="s">
        <v>377</v>
      </c>
      <c r="E99" s="5" t="s">
        <v>378</v>
      </c>
      <c r="F99" s="5"/>
    </row>
    <row r="100" customHeight="1" spans="3:4">
      <c r="C100" s="1" t="s">
        <v>361</v>
      </c>
      <c r="D100"/>
    </row>
    <row r="101" customHeight="1" spans="3:4">
      <c r="C101" s="2" t="s">
        <v>320</v>
      </c>
      <c r="D101" s="2" t="s">
        <v>362</v>
      </c>
    </row>
    <row r="102" customHeight="1" spans="3:4">
      <c r="C102" s="3" t="s">
        <v>321</v>
      </c>
      <c r="D102" s="5" t="s">
        <v>363</v>
      </c>
    </row>
    <row r="103" customHeight="1" spans="3:4">
      <c r="C103" s="3" t="s">
        <v>323</v>
      </c>
      <c r="D103" s="5" t="s">
        <v>324</v>
      </c>
    </row>
    <row r="105" customHeight="1" spans="1:2">
      <c r="A105">
        <v>4</v>
      </c>
      <c r="B105" t="s">
        <v>379</v>
      </c>
    </row>
    <row r="106" customHeight="1" spans="3:4">
      <c r="C106" s="12" t="s">
        <v>380</v>
      </c>
      <c r="D106"/>
    </row>
    <row r="107" customHeight="1" spans="3:6">
      <c r="C107" s="2" t="s">
        <v>211</v>
      </c>
      <c r="D107" s="2" t="s">
        <v>172</v>
      </c>
      <c r="E107" s="2" t="s">
        <v>173</v>
      </c>
      <c r="F107" s="2" t="s">
        <v>174</v>
      </c>
    </row>
    <row r="108" customHeight="1" spans="3:6">
      <c r="C108" s="3" t="s">
        <v>238</v>
      </c>
      <c r="D108" s="4" t="s">
        <v>339</v>
      </c>
      <c r="E108" s="5" t="s">
        <v>31</v>
      </c>
      <c r="F108" s="5" t="b">
        <v>0</v>
      </c>
    </row>
    <row r="109" customHeight="1" spans="3:6">
      <c r="C109" s="3" t="s">
        <v>366</v>
      </c>
      <c r="D109" s="4" t="s">
        <v>367</v>
      </c>
      <c r="E109" s="5" t="s">
        <v>31</v>
      </c>
      <c r="F109" s="5" t="b">
        <v>0</v>
      </c>
    </row>
    <row r="110" customHeight="1" spans="3:6">
      <c r="C110" s="13" t="s">
        <v>370</v>
      </c>
      <c r="D110" s="4" t="s">
        <v>371</v>
      </c>
      <c r="E110" s="5" t="s">
        <v>31</v>
      </c>
      <c r="F110" s="5" t="b">
        <v>0</v>
      </c>
    </row>
    <row r="111" customHeight="1" spans="3:6">
      <c r="C111" s="3" t="s">
        <v>230</v>
      </c>
      <c r="D111" s="4" t="s">
        <v>381</v>
      </c>
      <c r="E111" s="5" t="s">
        <v>382</v>
      </c>
      <c r="F111" s="5" t="s">
        <v>336</v>
      </c>
    </row>
    <row r="112" customHeight="1" spans="3:4">
      <c r="C112" s="12" t="s">
        <v>383</v>
      </c>
      <c r="D112"/>
    </row>
    <row r="113" customHeight="1" spans="3:4">
      <c r="C113" s="11" t="s">
        <v>384</v>
      </c>
      <c r="D113"/>
    </row>
    <row r="114" customHeight="1" spans="3:6">
      <c r="C114" s="2" t="s">
        <v>211</v>
      </c>
      <c r="D114" s="2" t="s">
        <v>172</v>
      </c>
      <c r="E114" s="2" t="s">
        <v>173</v>
      </c>
      <c r="F114" s="2" t="s">
        <v>174</v>
      </c>
    </row>
    <row r="115" customHeight="1" spans="3:6">
      <c r="C115" s="13" t="s">
        <v>216</v>
      </c>
      <c r="D115" s="4" t="s">
        <v>385</v>
      </c>
      <c r="E115" s="5" t="s">
        <v>382</v>
      </c>
      <c r="F115" s="5" t="s">
        <v>336</v>
      </c>
    </row>
    <row r="116" customHeight="1" spans="3:6">
      <c r="C116" s="3" t="s">
        <v>161</v>
      </c>
      <c r="D116" s="4" t="s">
        <v>386</v>
      </c>
      <c r="E116" s="5" t="s">
        <v>48</v>
      </c>
      <c r="F116" s="5" t="s">
        <v>336</v>
      </c>
    </row>
    <row r="117" customHeight="1" spans="3:6">
      <c r="C117" s="3" t="s">
        <v>387</v>
      </c>
      <c r="D117" s="4" t="s">
        <v>388</v>
      </c>
      <c r="E117" s="5" t="s">
        <v>389</v>
      </c>
      <c r="F117" s="5" t="s">
        <v>336</v>
      </c>
    </row>
    <row r="118" customHeight="1" spans="3:6">
      <c r="C118" s="3" t="s">
        <v>223</v>
      </c>
      <c r="D118" s="4" t="s">
        <v>390</v>
      </c>
      <c r="E118" s="6" t="s">
        <v>391</v>
      </c>
      <c r="F118" s="6" t="s">
        <v>225</v>
      </c>
    </row>
    <row r="119" customHeight="1" spans="3:6">
      <c r="C119" s="3" t="s">
        <v>230</v>
      </c>
      <c r="D119" s="4" t="s">
        <v>392</v>
      </c>
      <c r="E119" s="5" t="s">
        <v>382</v>
      </c>
      <c r="F119" s="5" t="s">
        <v>336</v>
      </c>
    </row>
    <row r="120" customHeight="1" spans="3:6">
      <c r="C120" s="3" t="s">
        <v>298</v>
      </c>
      <c r="D120" s="4" t="s">
        <v>393</v>
      </c>
      <c r="E120" s="5" t="s">
        <v>12</v>
      </c>
      <c r="F120" s="5" t="s">
        <v>336</v>
      </c>
    </row>
    <row r="121" customHeight="1" spans="3:4">
      <c r="C121" s="1" t="s">
        <v>361</v>
      </c>
      <c r="D121"/>
    </row>
    <row r="122" customHeight="1" spans="3:4">
      <c r="C122" s="12" t="s">
        <v>380</v>
      </c>
      <c r="D122"/>
    </row>
    <row r="123" customHeight="1" spans="3:4">
      <c r="C123" s="2" t="s">
        <v>320</v>
      </c>
      <c r="D123" s="2" t="s">
        <v>362</v>
      </c>
    </row>
    <row r="124" customHeight="1" spans="3:4">
      <c r="C124" s="3" t="s">
        <v>321</v>
      </c>
      <c r="D124" s="5" t="s">
        <v>363</v>
      </c>
    </row>
    <row r="125" customHeight="1" spans="3:4">
      <c r="C125" s="3" t="s">
        <v>323</v>
      </c>
      <c r="D125" s="5" t="s">
        <v>324</v>
      </c>
    </row>
    <row r="127" customHeight="1" spans="1:2">
      <c r="A127">
        <v>5</v>
      </c>
      <c r="B127" t="s">
        <v>394</v>
      </c>
    </row>
    <row r="128" customHeight="1" spans="3:4">
      <c r="C128" s="1" t="s">
        <v>395</v>
      </c>
      <c r="D128"/>
    </row>
    <row r="129" customHeight="1" spans="3:6">
      <c r="C129" s="2" t="s">
        <v>211</v>
      </c>
      <c r="D129" s="2" t="s">
        <v>172</v>
      </c>
      <c r="E129" s="2" t="s">
        <v>173</v>
      </c>
      <c r="F129" s="2" t="s">
        <v>174</v>
      </c>
    </row>
    <row r="130" customHeight="1" spans="3:6">
      <c r="C130" s="3" t="s">
        <v>236</v>
      </c>
      <c r="D130" s="4" t="s">
        <v>396</v>
      </c>
      <c r="E130" s="5" t="s">
        <v>31</v>
      </c>
      <c r="F130" s="5" t="b">
        <v>0</v>
      </c>
    </row>
    <row r="131" customHeight="1" spans="3:6">
      <c r="C131" s="3" t="s">
        <v>216</v>
      </c>
      <c r="D131" s="4" t="s">
        <v>397</v>
      </c>
      <c r="E131" s="5" t="s">
        <v>398</v>
      </c>
      <c r="F131" s="5" t="s">
        <v>399</v>
      </c>
    </row>
    <row r="132" customHeight="1" spans="3:6">
      <c r="C132" s="3" t="s">
        <v>218</v>
      </c>
      <c r="D132" s="4" t="s">
        <v>400</v>
      </c>
      <c r="E132" s="5" t="s">
        <v>31</v>
      </c>
      <c r="F132" s="5" t="b">
        <v>0</v>
      </c>
    </row>
    <row r="133" customHeight="1" spans="3:6">
      <c r="C133" s="3" t="s">
        <v>401</v>
      </c>
      <c r="D133" s="4" t="s">
        <v>402</v>
      </c>
      <c r="E133" s="5" t="s">
        <v>31</v>
      </c>
      <c r="F133" s="5" t="b">
        <v>0</v>
      </c>
    </row>
    <row r="134" customHeight="1" spans="3:6">
      <c r="C134" s="3" t="s">
        <v>403</v>
      </c>
      <c r="D134" s="6" t="s">
        <v>404</v>
      </c>
      <c r="E134" s="5" t="s">
        <v>31</v>
      </c>
      <c r="F134" s="5" t="b">
        <v>1</v>
      </c>
    </row>
    <row r="135" customHeight="1" spans="3:6">
      <c r="C135" s="3" t="s">
        <v>405</v>
      </c>
      <c r="D135" s="4" t="s">
        <v>406</v>
      </c>
      <c r="E135" s="5" t="s">
        <v>43</v>
      </c>
      <c r="F135" s="5" t="s">
        <v>407</v>
      </c>
    </row>
    <row r="136" customHeight="1" spans="3:6">
      <c r="C136" s="3" t="s">
        <v>76</v>
      </c>
      <c r="D136" s="4" t="s">
        <v>345</v>
      </c>
      <c r="E136" s="5" t="s">
        <v>75</v>
      </c>
      <c r="F136" s="5">
        <v>100</v>
      </c>
    </row>
    <row r="137" customHeight="1" spans="3:6">
      <c r="C137" s="3" t="s">
        <v>80</v>
      </c>
      <c r="D137" s="4" t="s">
        <v>347</v>
      </c>
      <c r="E137" s="5" t="s">
        <v>75</v>
      </c>
      <c r="F137" s="5">
        <v>0</v>
      </c>
    </row>
    <row r="138" customHeight="1" spans="3:6">
      <c r="C138" s="3" t="s">
        <v>408</v>
      </c>
      <c r="D138" s="4" t="s">
        <v>409</v>
      </c>
      <c r="E138" s="5" t="s">
        <v>31</v>
      </c>
      <c r="F138" s="5" t="b">
        <v>0</v>
      </c>
    </row>
    <row r="139" customHeight="1" spans="3:6">
      <c r="C139" s="3" t="s">
        <v>355</v>
      </c>
      <c r="D139" s="4" t="s">
        <v>410</v>
      </c>
      <c r="E139" s="5" t="s">
        <v>411</v>
      </c>
      <c r="F139" s="5">
        <v>1</v>
      </c>
    </row>
    <row r="140" customHeight="1" spans="3:6">
      <c r="C140" s="3" t="s">
        <v>412</v>
      </c>
      <c r="D140" s="4" t="s">
        <v>413</v>
      </c>
      <c r="E140" s="5" t="s">
        <v>414</v>
      </c>
      <c r="F140" s="5" t="s">
        <v>415</v>
      </c>
    </row>
    <row r="141" customHeight="1" spans="3:6">
      <c r="C141" s="3" t="s">
        <v>230</v>
      </c>
      <c r="D141" s="4" t="s">
        <v>416</v>
      </c>
      <c r="E141" s="5" t="s">
        <v>398</v>
      </c>
      <c r="F141" s="5"/>
    </row>
    <row r="142" customHeight="1" spans="3:6">
      <c r="C142" s="3" t="s">
        <v>417</v>
      </c>
      <c r="D142" s="4" t="s">
        <v>418</v>
      </c>
      <c r="E142" s="5" t="s">
        <v>5</v>
      </c>
      <c r="F142" s="5" t="b">
        <v>0</v>
      </c>
    </row>
    <row r="143" customHeight="1" spans="3:6">
      <c r="C143" s="3" t="s">
        <v>419</v>
      </c>
      <c r="D143" s="4" t="s">
        <v>420</v>
      </c>
      <c r="E143" s="5" t="s">
        <v>421</v>
      </c>
      <c r="F143" s="5" t="s">
        <v>422</v>
      </c>
    </row>
    <row r="144" customHeight="1" spans="3:6">
      <c r="C144" s="3" t="s">
        <v>298</v>
      </c>
      <c r="D144" s="4" t="s">
        <v>423</v>
      </c>
      <c r="E144" s="5" t="s">
        <v>421</v>
      </c>
      <c r="F144" s="5" t="s">
        <v>422</v>
      </c>
    </row>
    <row r="145" customHeight="1" spans="3:4">
      <c r="C145" s="1" t="s">
        <v>361</v>
      </c>
      <c r="D145"/>
    </row>
    <row r="146" customHeight="1" spans="3:4">
      <c r="C146" s="2" t="s">
        <v>320</v>
      </c>
      <c r="D146" s="2" t="s">
        <v>362</v>
      </c>
    </row>
    <row r="147" customHeight="1" spans="3:4">
      <c r="C147" s="3" t="s">
        <v>321</v>
      </c>
      <c r="D147" s="5" t="s">
        <v>363</v>
      </c>
    </row>
    <row r="148" customHeight="1" spans="3:4">
      <c r="C148" s="3" t="s">
        <v>323</v>
      </c>
      <c r="D148" s="5" t="s">
        <v>324</v>
      </c>
    </row>
    <row r="150" customHeight="1" spans="1:2">
      <c r="A150" s="29" t="s">
        <v>424</v>
      </c>
      <c r="B150" t="s">
        <v>425</v>
      </c>
    </row>
    <row r="151" customHeight="1" spans="3:6">
      <c r="C151" s="2" t="s">
        <v>171</v>
      </c>
      <c r="D151" s="2" t="s">
        <v>172</v>
      </c>
      <c r="E151" s="2" t="s">
        <v>173</v>
      </c>
      <c r="F151" s="2" t="s">
        <v>174</v>
      </c>
    </row>
    <row r="152" customHeight="1" spans="3:6">
      <c r="C152" s="3" t="s">
        <v>426</v>
      </c>
      <c r="D152" s="4" t="s">
        <v>427</v>
      </c>
      <c r="E152" s="5" t="s">
        <v>31</v>
      </c>
      <c r="F152" s="5" t="b">
        <v>0</v>
      </c>
    </row>
    <row r="153" customHeight="1" spans="3:6">
      <c r="C153" s="3" t="s">
        <v>428</v>
      </c>
      <c r="D153" s="4" t="s">
        <v>429</v>
      </c>
      <c r="E153" s="5" t="s">
        <v>48</v>
      </c>
      <c r="F153" s="5" t="s">
        <v>67</v>
      </c>
    </row>
    <row r="154" customHeight="1" spans="3:6">
      <c r="C154" s="3" t="s">
        <v>430</v>
      </c>
      <c r="D154" s="4" t="s">
        <v>431</v>
      </c>
      <c r="E154" s="5" t="s">
        <v>48</v>
      </c>
      <c r="F154" s="6" t="s">
        <v>432</v>
      </c>
    </row>
    <row r="155" customHeight="1" spans="3:6">
      <c r="C155" s="3" t="s">
        <v>433</v>
      </c>
      <c r="D155" s="4" t="s">
        <v>434</v>
      </c>
      <c r="E155" s="5" t="s">
        <v>48</v>
      </c>
      <c r="F155" s="5" t="s">
        <v>67</v>
      </c>
    </row>
    <row r="156" customHeight="1" spans="3:6">
      <c r="C156" s="3" t="s">
        <v>372</v>
      </c>
      <c r="D156" s="4" t="s">
        <v>435</v>
      </c>
      <c r="E156" s="5" t="s">
        <v>436</v>
      </c>
      <c r="F156" s="6" t="b">
        <v>0</v>
      </c>
    </row>
    <row r="157" customHeight="1" spans="3:6">
      <c r="C157" s="3" t="s">
        <v>218</v>
      </c>
      <c r="D157" s="4" t="s">
        <v>437</v>
      </c>
      <c r="E157" s="5" t="s">
        <v>31</v>
      </c>
      <c r="F157" s="6" t="b">
        <v>0</v>
      </c>
    </row>
    <row r="158" customHeight="1" spans="3:6">
      <c r="C158" s="3" t="s">
        <v>438</v>
      </c>
      <c r="D158" s="4" t="s">
        <v>439</v>
      </c>
      <c r="E158" s="5" t="s">
        <v>48</v>
      </c>
      <c r="F158" s="5" t="s">
        <v>67</v>
      </c>
    </row>
    <row r="159" customHeight="1" spans="3:6">
      <c r="C159" s="3" t="s">
        <v>223</v>
      </c>
      <c r="D159" s="4" t="s">
        <v>440</v>
      </c>
      <c r="E159" s="5" t="s">
        <v>48</v>
      </c>
      <c r="F159" s="6" t="s">
        <v>225</v>
      </c>
    </row>
    <row r="160" customHeight="1" spans="3:6">
      <c r="C160" s="3" t="s">
        <v>441</v>
      </c>
      <c r="D160" s="4" t="s">
        <v>442</v>
      </c>
      <c r="E160" s="5" t="s">
        <v>48</v>
      </c>
      <c r="F160" s="5" t="s">
        <v>67</v>
      </c>
    </row>
    <row r="161" customHeight="1" spans="3:6">
      <c r="C161" s="3" t="s">
        <v>51</v>
      </c>
      <c r="D161" s="4" t="s">
        <v>443</v>
      </c>
      <c r="E161" s="5" t="s">
        <v>48</v>
      </c>
      <c r="F161" s="5" t="s">
        <v>67</v>
      </c>
    </row>
    <row r="162" customHeight="1" spans="3:6">
      <c r="C162" s="3" t="s">
        <v>444</v>
      </c>
      <c r="D162" s="6" t="s">
        <v>445</v>
      </c>
      <c r="E162" s="5" t="s">
        <v>297</v>
      </c>
      <c r="F162" s="5" t="s">
        <v>67</v>
      </c>
    </row>
    <row r="164" customHeight="1" spans="1:3">
      <c r="A164">
        <v>7</v>
      </c>
      <c r="B164" t="s">
        <v>446</v>
      </c>
      <c r="C164" t="s">
        <v>447</v>
      </c>
    </row>
    <row r="165" customHeight="1" spans="3:6">
      <c r="C165" s="2" t="s">
        <v>211</v>
      </c>
      <c r="D165" s="2" t="s">
        <v>172</v>
      </c>
      <c r="E165" s="2" t="s">
        <v>173</v>
      </c>
      <c r="F165" s="2" t="s">
        <v>174</v>
      </c>
    </row>
    <row r="166" customHeight="1" spans="3:6">
      <c r="C166" s="3" t="s">
        <v>448</v>
      </c>
      <c r="D166" s="4" t="s">
        <v>449</v>
      </c>
      <c r="E166" s="5" t="s">
        <v>48</v>
      </c>
      <c r="F166" s="5" t="s">
        <v>336</v>
      </c>
    </row>
    <row r="167" customHeight="1" spans="3:6">
      <c r="C167" s="3" t="s">
        <v>450</v>
      </c>
      <c r="D167" s="30" t="s">
        <v>451</v>
      </c>
      <c r="E167" s="5" t="s">
        <v>48</v>
      </c>
      <c r="F167" s="5" t="s">
        <v>336</v>
      </c>
    </row>
    <row r="168" ht="78" customHeight="1" spans="3:6">
      <c r="C168" s="3" t="s">
        <v>452</v>
      </c>
      <c r="D168" s="4" t="s">
        <v>453</v>
      </c>
      <c r="E168" s="5" t="s">
        <v>454</v>
      </c>
      <c r="F168" s="5" t="s">
        <v>336</v>
      </c>
    </row>
    <row r="169" customHeight="1" spans="3:6">
      <c r="C169" s="3" t="s">
        <v>455</v>
      </c>
      <c r="D169" s="4" t="s">
        <v>456</v>
      </c>
      <c r="E169" s="5" t="s">
        <v>457</v>
      </c>
      <c r="F169" s="5" t="s">
        <v>336</v>
      </c>
    </row>
    <row r="170" customHeight="1" spans="3:6">
      <c r="C170" s="3" t="s">
        <v>458</v>
      </c>
      <c r="D170" s="4" t="s">
        <v>459</v>
      </c>
      <c r="E170" s="5" t="s">
        <v>460</v>
      </c>
      <c r="F170" s="5" t="s">
        <v>336</v>
      </c>
    </row>
    <row r="171" customHeight="1" spans="3:6">
      <c r="C171" s="3" t="s">
        <v>461</v>
      </c>
      <c r="D171" s="4" t="s">
        <v>462</v>
      </c>
      <c r="E171" s="5" t="s">
        <v>70</v>
      </c>
      <c r="F171" s="5" t="s">
        <v>336</v>
      </c>
    </row>
    <row r="172" customHeight="1" spans="3:6">
      <c r="C172" s="3" t="s">
        <v>218</v>
      </c>
      <c r="D172" s="4" t="s">
        <v>246</v>
      </c>
      <c r="E172" s="5" t="s">
        <v>31</v>
      </c>
      <c r="F172" s="5" t="b">
        <v>0</v>
      </c>
    </row>
    <row r="173" customHeight="1" spans="3:6">
      <c r="C173" s="3" t="s">
        <v>463</v>
      </c>
      <c r="D173" s="4" t="s">
        <v>464</v>
      </c>
      <c r="E173" s="5" t="s">
        <v>70</v>
      </c>
      <c r="F173" s="5" t="s">
        <v>336</v>
      </c>
    </row>
    <row r="174" customHeight="1" spans="3:6">
      <c r="C174" s="3" t="s">
        <v>465</v>
      </c>
      <c r="D174" s="4" t="s">
        <v>466</v>
      </c>
      <c r="E174" s="5" t="s">
        <v>43</v>
      </c>
      <c r="F174" s="5" t="s">
        <v>336</v>
      </c>
    </row>
    <row r="175" customHeight="1" spans="3:6">
      <c r="C175" s="3" t="s">
        <v>467</v>
      </c>
      <c r="D175" s="4" t="s">
        <v>468</v>
      </c>
      <c r="E175" s="5" t="s">
        <v>48</v>
      </c>
      <c r="F175" s="5" t="s">
        <v>469</v>
      </c>
    </row>
    <row r="176" customHeight="1" spans="3:6">
      <c r="C176" s="3" t="s">
        <v>272</v>
      </c>
      <c r="D176" s="4" t="s">
        <v>470</v>
      </c>
      <c r="E176" s="5" t="s">
        <v>31</v>
      </c>
      <c r="F176" s="5" t="b">
        <v>0</v>
      </c>
    </row>
    <row r="177" customHeight="1" spans="3:6">
      <c r="C177" s="3" t="s">
        <v>161</v>
      </c>
      <c r="D177" s="4" t="s">
        <v>471</v>
      </c>
      <c r="E177" s="5" t="s">
        <v>48</v>
      </c>
      <c r="F177" s="5" t="s">
        <v>472</v>
      </c>
    </row>
    <row r="178" ht="48" customHeight="1" spans="3:6">
      <c r="C178" s="3" t="s">
        <v>473</v>
      </c>
      <c r="D178" s="4" t="s">
        <v>474</v>
      </c>
      <c r="E178" s="5" t="s">
        <v>475</v>
      </c>
      <c r="F178" s="5" t="b">
        <v>1</v>
      </c>
    </row>
    <row r="179" customHeight="1" spans="3:6">
      <c r="C179" s="3" t="s">
        <v>476</v>
      </c>
      <c r="D179" s="4" t="s">
        <v>477</v>
      </c>
      <c r="E179" s="5" t="s">
        <v>31</v>
      </c>
      <c r="F179" s="5" t="b">
        <v>0</v>
      </c>
    </row>
    <row r="180" customHeight="1" spans="3:6">
      <c r="C180" s="3" t="s">
        <v>478</v>
      </c>
      <c r="D180" s="4" t="s">
        <v>479</v>
      </c>
      <c r="E180" s="5" t="s">
        <v>31</v>
      </c>
      <c r="F180" s="5" t="b">
        <v>0</v>
      </c>
    </row>
    <row r="181" customHeight="1" spans="3:6">
      <c r="C181" s="3" t="s">
        <v>298</v>
      </c>
      <c r="D181" s="4" t="s">
        <v>480</v>
      </c>
      <c r="E181" s="5" t="s">
        <v>457</v>
      </c>
      <c r="F181" s="5" t="s">
        <v>336</v>
      </c>
    </row>
    <row r="182" customHeight="1" spans="3:6">
      <c r="C182" s="3" t="s">
        <v>481</v>
      </c>
      <c r="D182" s="4" t="s">
        <v>482</v>
      </c>
      <c r="E182" s="5" t="s">
        <v>483</v>
      </c>
      <c r="F182" s="5" t="s">
        <v>336</v>
      </c>
    </row>
    <row r="183" customHeight="1" spans="3:6">
      <c r="C183" s="3" t="s">
        <v>484</v>
      </c>
      <c r="D183" s="4" t="s">
        <v>485</v>
      </c>
      <c r="E183" s="5" t="s">
        <v>486</v>
      </c>
      <c r="F183" s="5" t="s">
        <v>487</v>
      </c>
    </row>
    <row r="185" customHeight="1" spans="1:2">
      <c r="A185">
        <v>8</v>
      </c>
      <c r="B185" t="s">
        <v>488</v>
      </c>
    </row>
    <row r="186" customHeight="1" spans="3:6">
      <c r="C186" s="2" t="s">
        <v>171</v>
      </c>
      <c r="D186" s="2" t="s">
        <v>172</v>
      </c>
      <c r="E186" s="2" t="s">
        <v>173</v>
      </c>
      <c r="F186" s="2" t="s">
        <v>174</v>
      </c>
    </row>
    <row r="187" customHeight="1" spans="3:6">
      <c r="C187" s="3" t="s">
        <v>236</v>
      </c>
      <c r="D187" s="4" t="s">
        <v>489</v>
      </c>
      <c r="E187" s="5" t="s">
        <v>31</v>
      </c>
      <c r="F187" s="5" t="b">
        <v>1</v>
      </c>
    </row>
    <row r="188" customHeight="1" spans="3:6">
      <c r="C188" s="3" t="s">
        <v>490</v>
      </c>
      <c r="D188" s="4" t="s">
        <v>491</v>
      </c>
      <c r="E188" s="5" t="s">
        <v>31</v>
      </c>
      <c r="F188" s="5" t="b">
        <v>0</v>
      </c>
    </row>
    <row r="189" customHeight="1" spans="3:6">
      <c r="C189" s="3" t="s">
        <v>238</v>
      </c>
      <c r="D189" s="4" t="s">
        <v>339</v>
      </c>
      <c r="E189" s="5" t="s">
        <v>31</v>
      </c>
      <c r="F189" s="5" t="b">
        <v>0</v>
      </c>
    </row>
    <row r="190" customHeight="1" spans="3:6">
      <c r="C190" s="3" t="s">
        <v>492</v>
      </c>
      <c r="D190" s="4" t="s">
        <v>493</v>
      </c>
      <c r="E190" s="5" t="s">
        <v>494</v>
      </c>
      <c r="F190" s="6" t="s">
        <v>495</v>
      </c>
    </row>
    <row r="191" customHeight="1" spans="3:6">
      <c r="C191" s="3" t="s">
        <v>496</v>
      </c>
      <c r="D191" s="4" t="s">
        <v>497</v>
      </c>
      <c r="E191" s="5" t="s">
        <v>48</v>
      </c>
      <c r="F191" s="5" t="s">
        <v>67</v>
      </c>
    </row>
    <row r="192" customHeight="1" spans="3:6">
      <c r="C192" s="3" t="s">
        <v>498</v>
      </c>
      <c r="D192" s="4" t="s">
        <v>499</v>
      </c>
      <c r="E192" s="5" t="s">
        <v>75</v>
      </c>
      <c r="F192" s="5">
        <v>5</v>
      </c>
    </row>
    <row r="193" customHeight="1" spans="3:6">
      <c r="C193" s="3" t="s">
        <v>216</v>
      </c>
      <c r="D193" s="4" t="s">
        <v>174</v>
      </c>
      <c r="E193" s="5" t="s">
        <v>75</v>
      </c>
      <c r="F193" s="5">
        <v>0</v>
      </c>
    </row>
    <row r="194" customHeight="1" spans="3:6">
      <c r="C194" s="3" t="s">
        <v>218</v>
      </c>
      <c r="D194" s="4" t="s">
        <v>500</v>
      </c>
      <c r="E194" s="5" t="s">
        <v>31</v>
      </c>
      <c r="F194" s="5" t="b">
        <v>0</v>
      </c>
    </row>
    <row r="195" customHeight="1" spans="3:6">
      <c r="C195" s="3" t="s">
        <v>501</v>
      </c>
      <c r="D195" s="4" t="s">
        <v>502</v>
      </c>
      <c r="E195" s="5" t="s">
        <v>43</v>
      </c>
      <c r="F195" s="5" t="s">
        <v>67</v>
      </c>
    </row>
    <row r="196" customHeight="1" spans="3:6">
      <c r="C196" s="3" t="s">
        <v>230</v>
      </c>
      <c r="D196" s="4" t="s">
        <v>503</v>
      </c>
      <c r="E196" s="5" t="s">
        <v>75</v>
      </c>
      <c r="F196" s="5" t="s">
        <v>67</v>
      </c>
    </row>
    <row r="197" customHeight="1" spans="3:6">
      <c r="C197" s="3" t="s">
        <v>295</v>
      </c>
      <c r="D197" s="4" t="s">
        <v>504</v>
      </c>
      <c r="E197" s="5" t="s">
        <v>505</v>
      </c>
      <c r="F197" s="5" t="s">
        <v>67</v>
      </c>
    </row>
    <row r="198" customHeight="1" spans="3:6">
      <c r="C198" s="3" t="s">
        <v>298</v>
      </c>
      <c r="D198" s="4" t="s">
        <v>506</v>
      </c>
      <c r="E198" s="5" t="s">
        <v>507</v>
      </c>
      <c r="F198" s="5" t="s">
        <v>67</v>
      </c>
    </row>
    <row r="199" customHeight="1" spans="3:6">
      <c r="C199" s="3" t="s">
        <v>304</v>
      </c>
      <c r="D199" s="4" t="s">
        <v>508</v>
      </c>
      <c r="E199" s="5" t="s">
        <v>505</v>
      </c>
      <c r="F199" s="5" t="s">
        <v>67</v>
      </c>
    </row>
    <row r="200" customHeight="1" spans="3:6">
      <c r="C200" s="3" t="s">
        <v>509</v>
      </c>
      <c r="D200" s="4" t="s">
        <v>510</v>
      </c>
      <c r="E200" s="5" t="s">
        <v>507</v>
      </c>
      <c r="F200" s="5" t="s">
        <v>67</v>
      </c>
    </row>
    <row r="201" customHeight="1" spans="3:6">
      <c r="C201" s="3" t="s">
        <v>511</v>
      </c>
      <c r="D201" s="4" t="s">
        <v>512</v>
      </c>
      <c r="E201" s="5" t="s">
        <v>513</v>
      </c>
      <c r="F201" s="5" t="s">
        <v>67</v>
      </c>
    </row>
    <row r="202" customHeight="1" spans="3:4">
      <c r="C202" s="1" t="s">
        <v>361</v>
      </c>
      <c r="D202"/>
    </row>
    <row r="203" customHeight="1" spans="3:4">
      <c r="C203" s="2" t="s">
        <v>320</v>
      </c>
      <c r="D203" s="2" t="s">
        <v>362</v>
      </c>
    </row>
    <row r="204" customHeight="1" spans="3:4">
      <c r="C204" s="3" t="s">
        <v>321</v>
      </c>
      <c r="D204" s="5" t="s">
        <v>363</v>
      </c>
    </row>
    <row r="205" customHeight="1" spans="3:4">
      <c r="C205" s="3" t="s">
        <v>323</v>
      </c>
      <c r="D205" s="5" t="s">
        <v>324</v>
      </c>
    </row>
  </sheetData>
  <hyperlinks>
    <hyperlink ref="D12" r:id="rId1" display="声明 input 类型，同原生 input 标签的 type 属性，见：MDN(请直接使用 Input.TextArea 代替 type=&quot;textarea&quot;)。"/>
    <hyperlink ref="D29" r:id="rId2" display="菜单渲染父节点。默认渲染到 body 上，如果你遇到菜单滚动定位问题，试试修改为滚动的区域，并相对其定位。示例" tooltip="https://codesandbox.io/s/4j168r7jw0"/>
    <hyperlink ref="C55" r:id="rId3" display="Select Methods#"/>
    <hyperlink ref="C59" r:id="rId3" display="Option props#"/>
    <hyperlink ref="C65" r:id="rId3" display="OptGroup props#"/>
    <hyperlink ref="C84" r:id="rId4" display="方法#"/>
    <hyperlink ref="C100" r:id="rId5" display="方法#"/>
    <hyperlink ref="C106" r:id="rId6" display="Radio#"/>
    <hyperlink ref="C112" r:id="rId6" display="RadioGroup#"/>
    <hyperlink ref="C121" r:id="rId6" display="方法#"/>
    <hyperlink ref="C122" r:id="rId6" display="Radio#"/>
    <hyperlink ref="C128" r:id="rId7" display="API#"/>
    <hyperlink ref="C145" r:id="rId7" display="方法#"/>
    <hyperlink ref="D154" r:id="rId8" display="设置 button 原生的 type 值，可选值请参考 HTML 标准"/>
    <hyperlink ref="D166" r:id="rId9" display="接受上传的文件类型, 详见 input accept Attribute"/>
    <hyperlink ref="D173" r:id="rId10" display="已经上传的文件列表（受控），使用此参数时，如果遇到 onChange 只调用一次的问题，请参考 #2423" tooltip="https://github.com/ant-design/ant-design/issues/2423"/>
    <hyperlink ref="D181" r:id="rId11" display="上传文件改变时的状态，详见 onChange"/>
    <hyperlink ref="C202" r:id="rId12" display="方法#"/>
  </hyperlink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14"/>
  <sheetViews>
    <sheetView workbookViewId="0">
      <selection activeCell="B23" sqref="B23"/>
    </sheetView>
  </sheetViews>
  <sheetFormatPr defaultColWidth="9" defaultRowHeight="13.5" outlineLevelCol="1"/>
  <cols>
    <col min="1" max="1" width="10.875" customWidth="1"/>
    <col min="2" max="2" width="112.25" customWidth="1"/>
  </cols>
  <sheetData>
    <row r="1" spans="1:2">
      <c r="A1" t="s">
        <v>514</v>
      </c>
      <c r="B1" t="s">
        <v>515</v>
      </c>
    </row>
    <row r="2" spans="1:2">
      <c r="A2" t="s">
        <v>516</v>
      </c>
      <c r="B2" t="s">
        <v>517</v>
      </c>
    </row>
    <row r="3" spans="1:2">
      <c r="A3" t="s">
        <v>518</v>
      </c>
      <c r="B3" t="s">
        <v>519</v>
      </c>
    </row>
    <row r="4" spans="1:2">
      <c r="A4" t="s">
        <v>520</v>
      </c>
      <c r="B4" t="s">
        <v>521</v>
      </c>
    </row>
    <row r="5" spans="1:2">
      <c r="A5" t="s">
        <v>522</v>
      </c>
      <c r="B5" t="s">
        <v>523</v>
      </c>
    </row>
    <row r="6" spans="1:2">
      <c r="A6" t="s">
        <v>524</v>
      </c>
      <c r="B6" t="s">
        <v>525</v>
      </c>
    </row>
    <row r="7" spans="1:2">
      <c r="A7" t="s">
        <v>526</v>
      </c>
      <c r="B7" t="s">
        <v>527</v>
      </c>
    </row>
    <row r="8" spans="1:2">
      <c r="A8" t="s">
        <v>528</v>
      </c>
      <c r="B8" t="s">
        <v>529</v>
      </c>
    </row>
    <row r="9" spans="1:2">
      <c r="A9" t="s">
        <v>530</v>
      </c>
      <c r="B9" t="s">
        <v>531</v>
      </c>
    </row>
    <row r="10" spans="1:2">
      <c r="A10" t="s">
        <v>532</v>
      </c>
      <c r="B10" t="s">
        <v>533</v>
      </c>
    </row>
    <row r="11" spans="1:2">
      <c r="A11" t="s">
        <v>534</v>
      </c>
      <c r="B11" t="s">
        <v>535</v>
      </c>
    </row>
    <row r="12" spans="1:2">
      <c r="A12" t="s">
        <v>536</v>
      </c>
      <c r="B12" t="s">
        <v>537</v>
      </c>
    </row>
    <row r="13" spans="1:2">
      <c r="A13" t="s">
        <v>538</v>
      </c>
      <c r="B13" t="s">
        <v>539</v>
      </c>
    </row>
    <row r="14" spans="1:2">
      <c r="A14" t="s">
        <v>540</v>
      </c>
      <c r="B14" t="s">
        <v>541</v>
      </c>
    </row>
  </sheetData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E62"/>
  <sheetViews>
    <sheetView topLeftCell="A7" workbookViewId="0">
      <selection activeCell="E12" sqref="E12"/>
    </sheetView>
  </sheetViews>
  <sheetFormatPr defaultColWidth="18" defaultRowHeight="30" customHeight="1" outlineLevelCol="4"/>
  <cols>
    <col min="1" max="1" width="18" customWidth="1"/>
    <col min="2" max="2" width="28.25" customWidth="1"/>
    <col min="3" max="4" width="18" customWidth="1"/>
    <col min="5" max="5" width="64.875" customWidth="1"/>
    <col min="6" max="16384" width="18" customWidth="1"/>
  </cols>
  <sheetData>
    <row r="1" customHeight="1" spans="1:1">
      <c r="A1" s="1" t="s">
        <v>395</v>
      </c>
    </row>
    <row r="2" customHeight="1" spans="1:1">
      <c r="A2" s="18" t="s">
        <v>542</v>
      </c>
    </row>
    <row r="3" customHeight="1" spans="1:5">
      <c r="A3" s="18" t="s">
        <v>543</v>
      </c>
      <c r="E3" s="19" t="s">
        <v>544</v>
      </c>
    </row>
    <row r="4" customHeight="1" spans="1:1">
      <c r="A4" s="18" t="s">
        <v>545</v>
      </c>
    </row>
    <row r="6" customHeight="1" spans="1:1">
      <c r="A6" s="12" t="s">
        <v>546</v>
      </c>
    </row>
    <row r="7" customHeight="1" spans="1:4">
      <c r="A7" s="2" t="s">
        <v>211</v>
      </c>
      <c r="B7" s="2" t="s">
        <v>172</v>
      </c>
      <c r="C7" s="2" t="s">
        <v>173</v>
      </c>
      <c r="D7" s="2" t="s">
        <v>174</v>
      </c>
    </row>
    <row r="8" customHeight="1" spans="1:4">
      <c r="A8" s="3" t="s">
        <v>236</v>
      </c>
      <c r="B8" s="4" t="s">
        <v>237</v>
      </c>
      <c r="C8" s="5" t="s">
        <v>31</v>
      </c>
      <c r="D8" s="5" t="b">
        <v>0</v>
      </c>
    </row>
    <row r="9" customHeight="1" spans="1:4">
      <c r="A9" s="3" t="s">
        <v>238</v>
      </c>
      <c r="B9" s="4" t="s">
        <v>239</v>
      </c>
      <c r="C9" s="5" t="s">
        <v>31</v>
      </c>
      <c r="D9" s="5" t="b">
        <v>0</v>
      </c>
    </row>
    <row r="10" customHeight="1" spans="1:4">
      <c r="A10" s="3" t="s">
        <v>240</v>
      </c>
      <c r="B10" s="4" t="s">
        <v>547</v>
      </c>
      <c r="C10" s="5" t="s">
        <v>31</v>
      </c>
      <c r="D10" s="5" t="b">
        <v>0</v>
      </c>
    </row>
    <row r="11" customHeight="1" spans="1:4">
      <c r="A11" s="3" t="s">
        <v>242</v>
      </c>
      <c r="B11" s="4" t="s">
        <v>243</v>
      </c>
      <c r="C11" s="5" t="s">
        <v>31</v>
      </c>
      <c r="D11" s="5" t="b">
        <v>1</v>
      </c>
    </row>
    <row r="12" customHeight="1" spans="1:5">
      <c r="A12" s="13" t="s">
        <v>216</v>
      </c>
      <c r="B12" s="14" t="s">
        <v>244</v>
      </c>
      <c r="C12" s="5" t="s">
        <v>245</v>
      </c>
      <c r="D12" s="5" t="s">
        <v>67</v>
      </c>
      <c r="E12" t="s">
        <v>548</v>
      </c>
    </row>
    <row r="13" customHeight="1" spans="1:4">
      <c r="A13" s="3" t="s">
        <v>218</v>
      </c>
      <c r="B13" s="4" t="s">
        <v>246</v>
      </c>
      <c r="C13" s="5" t="s">
        <v>31</v>
      </c>
      <c r="D13" s="5" t="b">
        <v>0</v>
      </c>
    </row>
    <row r="14" customHeight="1" spans="1:4">
      <c r="A14" s="3" t="s">
        <v>247</v>
      </c>
      <c r="B14" s="4" t="s">
        <v>549</v>
      </c>
      <c r="C14" s="5" t="s">
        <v>48</v>
      </c>
      <c r="D14" s="5" t="s">
        <v>67</v>
      </c>
    </row>
    <row r="15" customHeight="1" spans="1:4">
      <c r="A15" s="3" t="s">
        <v>249</v>
      </c>
      <c r="B15" s="4" t="s">
        <v>250</v>
      </c>
      <c r="C15" s="5" t="s">
        <v>31</v>
      </c>
      <c r="D15" s="5" t="b">
        <v>1</v>
      </c>
    </row>
    <row r="16" customHeight="1" spans="1:4">
      <c r="A16" s="3" t="s">
        <v>251</v>
      </c>
      <c r="B16" s="4" t="s">
        <v>550</v>
      </c>
      <c r="C16" s="5" t="s">
        <v>43</v>
      </c>
      <c r="D16" s="5" t="s">
        <v>67</v>
      </c>
    </row>
    <row r="17" customHeight="1" spans="1:4">
      <c r="A17" s="3" t="s">
        <v>253</v>
      </c>
      <c r="B17" s="4" t="s">
        <v>551</v>
      </c>
      <c r="C17" s="5" t="s">
        <v>255</v>
      </c>
      <c r="D17" s="5" t="b">
        <v>1</v>
      </c>
    </row>
    <row r="18" customHeight="1" spans="1:4">
      <c r="A18" s="3" t="s">
        <v>256</v>
      </c>
      <c r="B18" s="4" t="s">
        <v>257</v>
      </c>
      <c r="C18" s="5" t="s">
        <v>103</v>
      </c>
      <c r="D18" s="5" t="s">
        <v>67</v>
      </c>
    </row>
    <row r="19" customHeight="1" spans="1:4">
      <c r="A19" s="3" t="s">
        <v>258</v>
      </c>
      <c r="B19" s="4" t="s">
        <v>552</v>
      </c>
      <c r="C19" s="5" t="s">
        <v>260</v>
      </c>
      <c r="D19" s="5" t="s">
        <v>261</v>
      </c>
    </row>
    <row r="20" customHeight="1" spans="1:4">
      <c r="A20" s="3" t="s">
        <v>262</v>
      </c>
      <c r="B20" s="4" t="s">
        <v>553</v>
      </c>
      <c r="C20" s="5" t="s">
        <v>31</v>
      </c>
      <c r="D20" s="5" t="b">
        <v>0</v>
      </c>
    </row>
    <row r="21" customHeight="1" spans="1:4">
      <c r="A21" s="3" t="s">
        <v>264</v>
      </c>
      <c r="B21" s="4" t="s">
        <v>554</v>
      </c>
      <c r="C21" s="5" t="s">
        <v>75</v>
      </c>
      <c r="D21" s="5" t="s">
        <v>67</v>
      </c>
    </row>
    <row r="22" customHeight="1" spans="1:4">
      <c r="A22" s="3" t="s">
        <v>266</v>
      </c>
      <c r="B22" s="4" t="s">
        <v>555</v>
      </c>
      <c r="C22" s="5" t="s">
        <v>268</v>
      </c>
      <c r="D22" s="5" t="s">
        <v>67</v>
      </c>
    </row>
    <row r="23" customHeight="1" spans="1:4">
      <c r="A23" s="3" t="s">
        <v>269</v>
      </c>
      <c r="B23" s="4" t="s">
        <v>556</v>
      </c>
      <c r="C23" s="5" t="s">
        <v>271</v>
      </c>
      <c r="D23" s="5" t="s">
        <v>67</v>
      </c>
    </row>
    <row r="24" customHeight="1" spans="1:4">
      <c r="A24" s="3" t="s">
        <v>272</v>
      </c>
      <c r="B24" s="4" t="s">
        <v>557</v>
      </c>
      <c r="C24" s="5" t="s">
        <v>31</v>
      </c>
      <c r="D24" s="5" t="b">
        <v>0</v>
      </c>
    </row>
    <row r="25" customHeight="1" spans="1:4">
      <c r="A25" s="3" t="s">
        <v>274</v>
      </c>
      <c r="B25" s="4" t="s">
        <v>275</v>
      </c>
      <c r="C25" s="5" t="s">
        <v>48</v>
      </c>
      <c r="D25" s="5" t="s">
        <v>276</v>
      </c>
    </row>
    <row r="26" customHeight="1" spans="1:4">
      <c r="A26" s="3" t="s">
        <v>277</v>
      </c>
      <c r="B26" s="4" t="s">
        <v>558</v>
      </c>
      <c r="C26" s="5" t="s">
        <v>48</v>
      </c>
      <c r="D26" s="5" t="s">
        <v>230</v>
      </c>
    </row>
    <row r="27" customHeight="1" spans="1:4">
      <c r="A27" s="3" t="s">
        <v>279</v>
      </c>
      <c r="B27" s="4" t="s">
        <v>559</v>
      </c>
      <c r="C27" s="5" t="s">
        <v>48</v>
      </c>
      <c r="D27" s="6" t="s">
        <v>281</v>
      </c>
    </row>
    <row r="28" customHeight="1" spans="1:4">
      <c r="A28" s="3" t="s">
        <v>282</v>
      </c>
      <c r="B28" s="4" t="s">
        <v>283</v>
      </c>
      <c r="C28" s="5" t="s">
        <v>48</v>
      </c>
      <c r="D28" s="5" t="s">
        <v>67</v>
      </c>
    </row>
    <row r="29" customHeight="1" spans="1:4">
      <c r="A29" s="3" t="s">
        <v>284</v>
      </c>
      <c r="B29" s="4" t="s">
        <v>285</v>
      </c>
      <c r="C29" s="5" t="s">
        <v>31</v>
      </c>
      <c r="D29" s="5" t="b">
        <v>0</v>
      </c>
    </row>
    <row r="30" customHeight="1" spans="1:4">
      <c r="A30" s="3" t="s">
        <v>286</v>
      </c>
      <c r="B30" s="4" t="s">
        <v>560</v>
      </c>
      <c r="C30" s="5" t="s">
        <v>31</v>
      </c>
      <c r="D30" s="5" t="b">
        <v>1</v>
      </c>
    </row>
    <row r="31" customHeight="1" spans="1:4">
      <c r="A31" s="3" t="s">
        <v>223</v>
      </c>
      <c r="B31" s="4" t="s">
        <v>561</v>
      </c>
      <c r="C31" s="5" t="s">
        <v>48</v>
      </c>
      <c r="D31" s="5" t="s">
        <v>225</v>
      </c>
    </row>
    <row r="32" customHeight="1" spans="1:4">
      <c r="A32" s="3" t="s">
        <v>289</v>
      </c>
      <c r="B32" s="4" t="s">
        <v>562</v>
      </c>
      <c r="C32" s="5" t="s">
        <v>31</v>
      </c>
      <c r="D32" s="5" t="b">
        <v>0</v>
      </c>
    </row>
    <row r="33" customHeight="1" spans="1:4">
      <c r="A33" s="3" t="s">
        <v>291</v>
      </c>
      <c r="B33" s="4" t="s">
        <v>563</v>
      </c>
      <c r="C33" s="5" t="s">
        <v>293</v>
      </c>
      <c r="D33" s="5"/>
    </row>
    <row r="34" customHeight="1" spans="1:4">
      <c r="A34" s="3" t="s">
        <v>230</v>
      </c>
      <c r="B34" s="4" t="s">
        <v>294</v>
      </c>
      <c r="C34" s="5" t="s">
        <v>245</v>
      </c>
      <c r="D34" s="5" t="s">
        <v>67</v>
      </c>
    </row>
    <row r="35" customHeight="1" spans="1:4">
      <c r="A35" s="3" t="s">
        <v>295</v>
      </c>
      <c r="B35" s="4" t="s">
        <v>296</v>
      </c>
      <c r="C35" s="5" t="s">
        <v>297</v>
      </c>
      <c r="D35" s="5" t="s">
        <v>67</v>
      </c>
    </row>
    <row r="36" customHeight="1" spans="1:4">
      <c r="A36" s="3" t="s">
        <v>298</v>
      </c>
      <c r="B36" s="4" t="s">
        <v>564</v>
      </c>
      <c r="C36" s="5" t="s">
        <v>300</v>
      </c>
      <c r="D36" s="5" t="s">
        <v>67</v>
      </c>
    </row>
    <row r="37" customHeight="1" spans="1:4">
      <c r="A37" s="3" t="s">
        <v>301</v>
      </c>
      <c r="B37" s="4" t="s">
        <v>565</v>
      </c>
      <c r="C37" s="5" t="s">
        <v>303</v>
      </c>
      <c r="D37" s="5" t="s">
        <v>67</v>
      </c>
    </row>
    <row r="38" customHeight="1" spans="1:4">
      <c r="A38" s="3" t="s">
        <v>304</v>
      </c>
      <c r="B38" s="4" t="s">
        <v>305</v>
      </c>
      <c r="C38" s="5" t="s">
        <v>297</v>
      </c>
      <c r="D38" s="5" t="s">
        <v>67</v>
      </c>
    </row>
    <row r="39" customHeight="1" spans="1:4">
      <c r="A39" s="3" t="s">
        <v>306</v>
      </c>
      <c r="B39" s="4" t="s">
        <v>307</v>
      </c>
      <c r="C39" s="5" t="s">
        <v>297</v>
      </c>
      <c r="D39" s="5" t="s">
        <v>67</v>
      </c>
    </row>
    <row r="40" customHeight="1" spans="1:4">
      <c r="A40" s="3" t="s">
        <v>308</v>
      </c>
      <c r="B40" s="4" t="s">
        <v>309</v>
      </c>
      <c r="C40" s="5" t="s">
        <v>297</v>
      </c>
      <c r="D40" s="5" t="s">
        <v>67</v>
      </c>
    </row>
    <row r="41" customHeight="1" spans="1:4">
      <c r="A41" s="3" t="s">
        <v>310</v>
      </c>
      <c r="B41" s="4" t="s">
        <v>311</v>
      </c>
      <c r="C41" s="5" t="s">
        <v>297</v>
      </c>
      <c r="D41" s="5" t="s">
        <v>67</v>
      </c>
    </row>
    <row r="42" customHeight="1" spans="1:4">
      <c r="A42" s="3" t="s">
        <v>312</v>
      </c>
      <c r="B42" s="4" t="s">
        <v>313</v>
      </c>
      <c r="C42" s="5" t="s">
        <v>314</v>
      </c>
      <c r="D42" s="5"/>
    </row>
    <row r="43" customHeight="1" spans="1:4">
      <c r="A43" s="3" t="s">
        <v>315</v>
      </c>
      <c r="B43" s="4" t="s">
        <v>566</v>
      </c>
      <c r="C43" s="5" t="s">
        <v>317</v>
      </c>
      <c r="D43" s="5" t="s">
        <v>67</v>
      </c>
    </row>
    <row r="44" customHeight="1" spans="1:1">
      <c r="A44" s="7"/>
    </row>
    <row r="45" customHeight="1" spans="1:1">
      <c r="A45" s="8" t="s">
        <v>318</v>
      </c>
    </row>
    <row r="47" customHeight="1" spans="1:1">
      <c r="A47" s="12" t="s">
        <v>319</v>
      </c>
    </row>
    <row r="48" customHeight="1" spans="1:2">
      <c r="A48" s="2" t="s">
        <v>320</v>
      </c>
      <c r="B48" s="2" t="s">
        <v>172</v>
      </c>
    </row>
    <row r="49" customHeight="1" spans="1:2">
      <c r="A49" s="3" t="s">
        <v>321</v>
      </c>
      <c r="B49" s="5" t="s">
        <v>322</v>
      </c>
    </row>
    <row r="50" customHeight="1" spans="1:2">
      <c r="A50" s="3" t="s">
        <v>323</v>
      </c>
      <c r="B50" s="5" t="s">
        <v>324</v>
      </c>
    </row>
    <row r="52" customHeight="1" spans="1:1">
      <c r="A52" s="12" t="s">
        <v>325</v>
      </c>
    </row>
    <row r="53" customHeight="1" spans="1:4">
      <c r="A53" s="2" t="s">
        <v>211</v>
      </c>
      <c r="B53" s="2" t="s">
        <v>172</v>
      </c>
      <c r="C53" s="2" t="s">
        <v>173</v>
      </c>
      <c r="D53" s="2" t="s">
        <v>174</v>
      </c>
    </row>
    <row r="54" customHeight="1" spans="1:4">
      <c r="A54" s="3" t="s">
        <v>218</v>
      </c>
      <c r="B54" s="4" t="s">
        <v>246</v>
      </c>
      <c r="C54" s="5" t="s">
        <v>31</v>
      </c>
      <c r="D54" s="5" t="b">
        <v>0</v>
      </c>
    </row>
    <row r="55" customHeight="1" spans="1:4">
      <c r="A55" s="3" t="s">
        <v>326</v>
      </c>
      <c r="B55" s="4" t="s">
        <v>567</v>
      </c>
      <c r="C55" s="5" t="s">
        <v>48</v>
      </c>
      <c r="D55" s="5"/>
    </row>
    <row r="56" customHeight="1" spans="1:4">
      <c r="A56" s="3" t="s">
        <v>328</v>
      </c>
      <c r="B56" s="4" t="s">
        <v>568</v>
      </c>
      <c r="C56" s="5" t="s">
        <v>48</v>
      </c>
      <c r="D56" s="5" t="s">
        <v>67</v>
      </c>
    </row>
    <row r="57" customHeight="1" spans="1:4">
      <c r="A57" s="3" t="s">
        <v>230</v>
      </c>
      <c r="B57" s="4" t="s">
        <v>330</v>
      </c>
      <c r="C57" s="5" t="s">
        <v>331</v>
      </c>
      <c r="D57" s="5" t="s">
        <v>67</v>
      </c>
    </row>
    <row r="59" customHeight="1" spans="1:1">
      <c r="A59" s="12" t="s">
        <v>332</v>
      </c>
    </row>
    <row r="60" customHeight="1" spans="1:4">
      <c r="A60" s="2" t="s">
        <v>211</v>
      </c>
      <c r="B60" s="2" t="s">
        <v>172</v>
      </c>
      <c r="C60" s="2" t="s">
        <v>173</v>
      </c>
      <c r="D60" s="2" t="s">
        <v>174</v>
      </c>
    </row>
    <row r="61" customHeight="1" spans="1:4">
      <c r="A61" s="3" t="s">
        <v>326</v>
      </c>
      <c r="B61" s="4"/>
      <c r="C61" s="5" t="s">
        <v>48</v>
      </c>
      <c r="D61" s="5" t="s">
        <v>67</v>
      </c>
    </row>
    <row r="62" customHeight="1" spans="1:4">
      <c r="A62" s="3" t="s">
        <v>39</v>
      </c>
      <c r="B62" s="4" t="s">
        <v>334</v>
      </c>
      <c r="C62" s="5" t="s">
        <v>335</v>
      </c>
      <c r="D62" s="5" t="s">
        <v>336</v>
      </c>
    </row>
  </sheetData>
  <hyperlinks>
    <hyperlink ref="A1" r:id="rId1" display="API#"/>
    <hyperlink ref="A6" r:id="rId1" display="Select props#"/>
    <hyperlink ref="B19" r:id="rId2" display="菜单渲染父节点。默认渲染到 body 上，如果你遇到菜单滚动定位问题，试试修改为滚动的区域，并相对其定位。示例" tooltip="https://codesandbox.io/s/4j168r7jw0"/>
    <hyperlink ref="A47" r:id="rId1" display="Select Methods#"/>
    <hyperlink ref="A52" r:id="rId1" display="Option props#"/>
    <hyperlink ref="A59" r:id="rId1" display="OptGroup props#"/>
  </hyperlinks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46"/>
  <sheetViews>
    <sheetView workbookViewId="0">
      <selection activeCell="D13" sqref="A2:D13"/>
    </sheetView>
  </sheetViews>
  <sheetFormatPr defaultColWidth="26.375" defaultRowHeight="22" customHeight="1" outlineLevelCol="3"/>
  <cols>
    <col min="1" max="1" width="19.5" customWidth="1"/>
    <col min="2" max="2" width="75.75" customWidth="1"/>
    <col min="3" max="16384" width="26.375" customWidth="1"/>
  </cols>
  <sheetData>
    <row r="1" customHeight="1" spans="1:1">
      <c r="A1" s="12" t="s">
        <v>569</v>
      </c>
    </row>
    <row r="2" customHeight="1" spans="1:4">
      <c r="A2" s="2" t="s">
        <v>211</v>
      </c>
      <c r="B2" s="2" t="s">
        <v>172</v>
      </c>
      <c r="C2" s="2" t="s">
        <v>173</v>
      </c>
      <c r="D2" s="2" t="s">
        <v>174</v>
      </c>
    </row>
    <row r="3" customHeight="1" spans="1:4">
      <c r="A3" s="3" t="s">
        <v>212</v>
      </c>
      <c r="B3" s="4" t="s">
        <v>570</v>
      </c>
      <c r="C3" s="5" t="s">
        <v>34</v>
      </c>
      <c r="D3" s="5"/>
    </row>
    <row r="4" customHeight="1" spans="1:4">
      <c r="A4" s="3" t="s">
        <v>214</v>
      </c>
      <c r="B4" s="4" t="s">
        <v>571</v>
      </c>
      <c r="C4" s="5" t="s">
        <v>34</v>
      </c>
      <c r="D4" s="5"/>
    </row>
    <row r="5" customHeight="1" spans="1:4">
      <c r="A5" s="13" t="s">
        <v>216</v>
      </c>
      <c r="B5" s="4" t="s">
        <v>217</v>
      </c>
      <c r="C5" s="5" t="s">
        <v>48</v>
      </c>
      <c r="D5" s="5"/>
    </row>
    <row r="6" customHeight="1" spans="1:4">
      <c r="A6" s="3" t="s">
        <v>218</v>
      </c>
      <c r="B6" s="4" t="s">
        <v>572</v>
      </c>
      <c r="C6" s="5" t="s">
        <v>31</v>
      </c>
      <c r="D6" s="5" t="b">
        <v>0</v>
      </c>
    </row>
    <row r="7" customHeight="1" spans="1:4">
      <c r="A7" s="3" t="s">
        <v>56</v>
      </c>
      <c r="B7" s="4" t="s">
        <v>573</v>
      </c>
      <c r="C7" s="5" t="s">
        <v>48</v>
      </c>
      <c r="D7" s="5"/>
    </row>
    <row r="8" customHeight="1" spans="1:4">
      <c r="A8" s="3" t="s">
        <v>221</v>
      </c>
      <c r="B8" s="4" t="s">
        <v>574</v>
      </c>
      <c r="C8" s="5" t="s">
        <v>34</v>
      </c>
      <c r="D8" s="5"/>
    </row>
    <row r="9" customHeight="1" spans="1:4">
      <c r="A9" s="3" t="s">
        <v>223</v>
      </c>
      <c r="B9" s="4" t="s">
        <v>575</v>
      </c>
      <c r="C9" s="5" t="s">
        <v>48</v>
      </c>
      <c r="D9" s="6" t="s">
        <v>225</v>
      </c>
    </row>
    <row r="10" customHeight="1" spans="1:4">
      <c r="A10" s="3" t="s">
        <v>226</v>
      </c>
      <c r="B10" s="4" t="s">
        <v>576</v>
      </c>
      <c r="C10" s="5" t="s">
        <v>34</v>
      </c>
      <c r="D10" s="5"/>
    </row>
    <row r="11" ht="46" customHeight="1" spans="1:4">
      <c r="A11" s="3" t="s">
        <v>51</v>
      </c>
      <c r="B11" s="14" t="s">
        <v>577</v>
      </c>
      <c r="C11" s="5" t="s">
        <v>48</v>
      </c>
      <c r="D11" s="6" t="s">
        <v>578</v>
      </c>
    </row>
    <row r="12" customHeight="1" spans="1:4">
      <c r="A12" s="3" t="s">
        <v>230</v>
      </c>
      <c r="B12" s="4" t="s">
        <v>231</v>
      </c>
      <c r="C12" s="5" t="s">
        <v>48</v>
      </c>
      <c r="D12" s="5"/>
    </row>
    <row r="13" customHeight="1" spans="1:4">
      <c r="A13" s="3" t="s">
        <v>232</v>
      </c>
      <c r="B13" s="4" t="s">
        <v>233</v>
      </c>
      <c r="C13" s="5" t="s">
        <v>234</v>
      </c>
      <c r="D13" s="5"/>
    </row>
    <row r="14" customHeight="1" spans="1:1">
      <c r="A14" s="7"/>
    </row>
    <row r="15" customHeight="1" spans="1:1">
      <c r="A15" t="s">
        <v>579</v>
      </c>
    </row>
    <row r="20" customHeight="1" spans="1:1">
      <c r="A20" s="12" t="s">
        <v>580</v>
      </c>
    </row>
    <row r="21" customHeight="1" spans="1:1">
      <c r="A21" s="7"/>
    </row>
    <row r="22" customHeight="1" spans="1:1">
      <c r="A22" s="15" t="s">
        <v>581</v>
      </c>
    </row>
    <row r="24" customHeight="1" spans="1:4">
      <c r="A24" s="2" t="s">
        <v>211</v>
      </c>
      <c r="B24" s="2" t="s">
        <v>172</v>
      </c>
      <c r="C24" s="2" t="s">
        <v>173</v>
      </c>
      <c r="D24" s="2" t="s">
        <v>174</v>
      </c>
    </row>
    <row r="25" customHeight="1" spans="1:4">
      <c r="A25" s="3" t="s">
        <v>582</v>
      </c>
      <c r="B25" s="4" t="s">
        <v>583</v>
      </c>
      <c r="C25" s="5" t="s">
        <v>584</v>
      </c>
      <c r="D25" s="5" t="b">
        <v>0</v>
      </c>
    </row>
    <row r="26" customHeight="1" spans="1:4">
      <c r="A26" s="3" t="s">
        <v>216</v>
      </c>
      <c r="B26" s="4" t="s">
        <v>217</v>
      </c>
      <c r="C26" s="5" t="s">
        <v>48</v>
      </c>
      <c r="D26" s="5"/>
    </row>
    <row r="27" customHeight="1" spans="1:4">
      <c r="A27" s="3" t="s">
        <v>230</v>
      </c>
      <c r="B27" s="4" t="s">
        <v>231</v>
      </c>
      <c r="C27" s="5" t="s">
        <v>48</v>
      </c>
      <c r="D27" s="5"/>
    </row>
    <row r="28" customHeight="1" spans="1:4">
      <c r="A28" s="3" t="s">
        <v>232</v>
      </c>
      <c r="B28" s="4" t="s">
        <v>233</v>
      </c>
      <c r="C28" s="5" t="s">
        <v>234</v>
      </c>
      <c r="D28" s="5"/>
    </row>
    <row r="30" customHeight="1" spans="1:1">
      <c r="A30" s="16" t="s">
        <v>585</v>
      </c>
    </row>
    <row r="32" customHeight="1" spans="1:1">
      <c r="A32" s="17" t="s">
        <v>586</v>
      </c>
    </row>
    <row r="33" customHeight="1" spans="1:4">
      <c r="A33" s="2" t="s">
        <v>211</v>
      </c>
      <c r="B33" s="2" t="s">
        <v>172</v>
      </c>
      <c r="C33" s="2" t="s">
        <v>173</v>
      </c>
      <c r="D33" s="2" t="s">
        <v>174</v>
      </c>
    </row>
    <row r="34" customHeight="1" spans="1:4">
      <c r="A34" s="3" t="s">
        <v>587</v>
      </c>
      <c r="B34" s="4" t="s">
        <v>588</v>
      </c>
      <c r="C34" s="5" t="s">
        <v>589</v>
      </c>
      <c r="D34" s="5" t="b">
        <v>0</v>
      </c>
    </row>
    <row r="35" customHeight="1" spans="1:4">
      <c r="A35" s="3" t="s">
        <v>312</v>
      </c>
      <c r="B35" s="4" t="s">
        <v>590</v>
      </c>
      <c r="C35" s="5" t="s">
        <v>591</v>
      </c>
      <c r="D35" s="5"/>
    </row>
    <row r="37" customHeight="1" spans="1:1">
      <c r="A37" s="11" t="s">
        <v>592</v>
      </c>
    </row>
    <row r="39" customHeight="1" spans="1:1">
      <c r="A39" s="17" t="s">
        <v>593</v>
      </c>
    </row>
    <row r="40" customHeight="1" spans="1:4">
      <c r="A40" s="2" t="s">
        <v>211</v>
      </c>
      <c r="B40" s="2" t="s">
        <v>172</v>
      </c>
      <c r="C40" s="2" t="s">
        <v>173</v>
      </c>
      <c r="D40" s="2" t="s">
        <v>174</v>
      </c>
    </row>
    <row r="41" customHeight="1" spans="1:4">
      <c r="A41" s="3" t="s">
        <v>594</v>
      </c>
      <c r="B41" s="4" t="s">
        <v>595</v>
      </c>
      <c r="C41" s="5" t="s">
        <v>31</v>
      </c>
      <c r="D41" s="5" t="b">
        <v>0</v>
      </c>
    </row>
    <row r="42" customHeight="1" spans="1:4">
      <c r="A42" s="3" t="s">
        <v>223</v>
      </c>
      <c r="B42" s="6" t="s">
        <v>596</v>
      </c>
      <c r="C42" s="5" t="s">
        <v>48</v>
      </c>
      <c r="D42" s="6" t="s">
        <v>225</v>
      </c>
    </row>
    <row r="43" customHeight="1" spans="1:1">
      <c r="A43" s="18" t="s">
        <v>597</v>
      </c>
    </row>
    <row r="44" customHeight="1" spans="1:1">
      <c r="A44" s="18" t="s">
        <v>598</v>
      </c>
    </row>
    <row r="45" customHeight="1" spans="1:1">
      <c r="A45" s="18" t="s">
        <v>598</v>
      </c>
    </row>
    <row r="46" customHeight="1" spans="1:1">
      <c r="A46" s="18" t="s">
        <v>599</v>
      </c>
    </row>
  </sheetData>
  <hyperlinks>
    <hyperlink ref="A1" r:id="rId1" display="Input#"/>
    <hyperlink ref="B11" r:id="rId2" display="声明 input 类型，同原生 input 标签的 type 属性，见：MDN(请直接使用 Input.TextArea 代替 type=&quot;textarea&quot;)。"/>
    <hyperlink ref="A20" r:id="rId1" display="Input.TextArea#"/>
    <hyperlink ref="A30" r:id="rId3" display="Input.TextArea 的其他属性和浏览器自带的 textarea 一致。" tooltip="https://developer.mozilla.org/en-US/docs/Web/HTML/Element/textarea"/>
    <hyperlink ref="A32" r:id="rId1" display="Input.Search#"/>
    <hyperlink ref="A39" r:id="rId1" display="Input.Group#"/>
  </hyperlinks>
  <pageMargins left="0.75" right="0.75" top="1" bottom="1" header="0.511805555555556" footer="0.511805555555556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D22"/>
  <sheetViews>
    <sheetView topLeftCell="A12" workbookViewId="0">
      <selection activeCell="A5" sqref="A5:D22"/>
    </sheetView>
  </sheetViews>
  <sheetFormatPr defaultColWidth="18.375" defaultRowHeight="13.5" outlineLevelCol="3"/>
  <cols>
    <col min="1" max="1" width="18.375" customWidth="1"/>
    <col min="2" max="2" width="33.25" customWidth="1"/>
    <col min="3" max="16384" width="18.375" customWidth="1"/>
  </cols>
  <sheetData>
    <row r="1" ht="26.25" spans="1:1">
      <c r="A1" s="1" t="s">
        <v>395</v>
      </c>
    </row>
    <row r="3" spans="1:1">
      <c r="A3" s="11" t="s">
        <v>600</v>
      </c>
    </row>
    <row r="4" ht="14.25"/>
    <row r="5" ht="22" customHeight="1" spans="1:4">
      <c r="A5" s="2" t="s">
        <v>338</v>
      </c>
      <c r="B5" s="2" t="s">
        <v>172</v>
      </c>
      <c r="C5" s="2" t="s">
        <v>173</v>
      </c>
      <c r="D5" s="2" t="s">
        <v>174</v>
      </c>
    </row>
    <row r="6" ht="22" customHeight="1" spans="1:4">
      <c r="A6" s="3" t="s">
        <v>238</v>
      </c>
      <c r="B6" s="4" t="s">
        <v>339</v>
      </c>
      <c r="C6" s="5" t="s">
        <v>31</v>
      </c>
      <c r="D6" s="5" t="b">
        <v>0</v>
      </c>
    </row>
    <row r="7" ht="22" customHeight="1" spans="1:4">
      <c r="A7" s="3" t="s">
        <v>216</v>
      </c>
      <c r="B7" s="4" t="s">
        <v>340</v>
      </c>
      <c r="C7" s="5" t="s">
        <v>75</v>
      </c>
      <c r="D7" s="5"/>
    </row>
    <row r="8" ht="22" customHeight="1" spans="1:4">
      <c r="A8" s="3" t="s">
        <v>218</v>
      </c>
      <c r="B8" s="4" t="s">
        <v>341</v>
      </c>
      <c r="C8" s="5" t="s">
        <v>31</v>
      </c>
      <c r="D8" s="5" t="b">
        <v>0</v>
      </c>
    </row>
    <row r="9" ht="22" customHeight="1" spans="1:4">
      <c r="A9" s="3" t="s">
        <v>342</v>
      </c>
      <c r="B9" s="4" t="s">
        <v>343</v>
      </c>
      <c r="C9" s="5" t="s">
        <v>344</v>
      </c>
      <c r="D9" s="5" t="s">
        <v>67</v>
      </c>
    </row>
    <row r="10" ht="22" customHeight="1" spans="1:4">
      <c r="A10" s="3" t="s">
        <v>76</v>
      </c>
      <c r="B10" s="4" t="s">
        <v>345</v>
      </c>
      <c r="C10" s="5" t="s">
        <v>75</v>
      </c>
      <c r="D10" s="5" t="s">
        <v>346</v>
      </c>
    </row>
    <row r="11" ht="22" customHeight="1" spans="1:4">
      <c r="A11" s="3" t="s">
        <v>80</v>
      </c>
      <c r="B11" s="4" t="s">
        <v>347</v>
      </c>
      <c r="C11" s="5" t="s">
        <v>75</v>
      </c>
      <c r="D11" s="5" t="s">
        <v>348</v>
      </c>
    </row>
    <row r="12" ht="39" customHeight="1" spans="1:4">
      <c r="A12" s="3" t="s">
        <v>349</v>
      </c>
      <c r="B12" s="4" t="s">
        <v>350</v>
      </c>
      <c r="C12" s="5" t="s">
        <v>351</v>
      </c>
      <c r="D12" s="5" t="s">
        <v>67</v>
      </c>
    </row>
    <row r="13" ht="22" customHeight="1" spans="1:4">
      <c r="A13" s="3" t="s">
        <v>352</v>
      </c>
      <c r="B13" s="4" t="s">
        <v>353</v>
      </c>
      <c r="C13" s="5" t="s">
        <v>75</v>
      </c>
      <c r="D13" s="5" t="s">
        <v>67</v>
      </c>
    </row>
    <row r="14" ht="22" customHeight="1" spans="1:4">
      <c r="A14" s="3" t="s">
        <v>223</v>
      </c>
      <c r="B14" s="4" t="s">
        <v>354</v>
      </c>
      <c r="C14" s="5" t="s">
        <v>48</v>
      </c>
      <c r="D14" s="5" t="s">
        <v>336</v>
      </c>
    </row>
    <row r="15" ht="22" customHeight="1" spans="1:4">
      <c r="A15" s="3" t="s">
        <v>355</v>
      </c>
      <c r="B15" s="4" t="s">
        <v>356</v>
      </c>
      <c r="C15" s="5" t="s">
        <v>357</v>
      </c>
      <c r="D15" s="5">
        <v>1</v>
      </c>
    </row>
    <row r="16" ht="22" customHeight="1" spans="1:4">
      <c r="A16" s="3" t="s">
        <v>230</v>
      </c>
      <c r="B16" s="4" t="s">
        <v>358</v>
      </c>
      <c r="C16" s="5" t="s">
        <v>75</v>
      </c>
      <c r="D16" s="5"/>
    </row>
    <row r="17" ht="22" customHeight="1" spans="1:4">
      <c r="A17" s="3" t="s">
        <v>298</v>
      </c>
      <c r="B17" s="4" t="s">
        <v>359</v>
      </c>
      <c r="C17" s="5" t="s">
        <v>360</v>
      </c>
      <c r="D17" s="5"/>
    </row>
    <row r="19" ht="27" spans="1:1">
      <c r="A19" s="1" t="s">
        <v>361</v>
      </c>
    </row>
    <row r="20" ht="16.5" spans="1:2">
      <c r="A20" s="2" t="s">
        <v>320</v>
      </c>
      <c r="B20" s="2" t="s">
        <v>362</v>
      </c>
    </row>
    <row r="21" ht="14.25" spans="1:2">
      <c r="A21" s="3" t="s">
        <v>321</v>
      </c>
      <c r="B21" s="5" t="s">
        <v>363</v>
      </c>
    </row>
    <row r="22" ht="14.25" spans="1:2">
      <c r="A22" s="3" t="s">
        <v>323</v>
      </c>
      <c r="B22" s="5" t="s">
        <v>324</v>
      </c>
    </row>
  </sheetData>
  <hyperlinks>
    <hyperlink ref="A1" r:id="rId1" display="API#"/>
    <hyperlink ref="A19" r:id="rId1" display="方法#"/>
  </hyperlinks>
  <pageMargins left="0.75" right="0.75" top="1" bottom="1" header="0.511805555555556" footer="0.511805555555556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D16"/>
  <sheetViews>
    <sheetView topLeftCell="A2" workbookViewId="0">
      <selection activeCell="A2" sqref="A2:D16"/>
    </sheetView>
  </sheetViews>
  <sheetFormatPr defaultColWidth="15.375" defaultRowHeight="21" customHeight="1" outlineLevelCol="3"/>
  <cols>
    <col min="1" max="1" width="18.625" customWidth="1"/>
    <col min="2" max="16384" width="15.375" customWidth="1"/>
  </cols>
  <sheetData>
    <row r="1" ht="24" customHeight="1" spans="1:1">
      <c r="A1" s="1" t="s">
        <v>395</v>
      </c>
    </row>
    <row r="2" ht="24" customHeight="1" spans="1:4">
      <c r="A2" s="2" t="s">
        <v>211</v>
      </c>
      <c r="B2" s="2" t="s">
        <v>172</v>
      </c>
      <c r="C2" s="2" t="s">
        <v>173</v>
      </c>
      <c r="D2" s="2" t="s">
        <v>174</v>
      </c>
    </row>
    <row r="3" ht="24" customHeight="1" spans="1:4">
      <c r="A3" s="3" t="s">
        <v>238</v>
      </c>
      <c r="B3" s="4" t="s">
        <v>365</v>
      </c>
      <c r="C3" s="5" t="s">
        <v>31</v>
      </c>
      <c r="D3" s="5" t="b">
        <v>0</v>
      </c>
    </row>
    <row r="4" ht="24" customHeight="1" spans="1:4">
      <c r="A4" s="3" t="s">
        <v>366</v>
      </c>
      <c r="B4" s="4" t="s">
        <v>367</v>
      </c>
      <c r="C4" s="5" t="s">
        <v>31</v>
      </c>
      <c r="D4" s="5" t="b">
        <v>0</v>
      </c>
    </row>
    <row r="5" ht="24" customHeight="1" spans="1:4">
      <c r="A5" s="3" t="s">
        <v>368</v>
      </c>
      <c r="B5" s="4" t="s">
        <v>369</v>
      </c>
      <c r="C5" s="5" t="s">
        <v>34</v>
      </c>
      <c r="D5" s="5"/>
    </row>
    <row r="6" ht="24" customHeight="1" spans="1:4">
      <c r="A6" s="3" t="s">
        <v>370</v>
      </c>
      <c r="B6" s="4" t="s">
        <v>371</v>
      </c>
      <c r="C6" s="5" t="s">
        <v>31</v>
      </c>
      <c r="D6" s="5" t="b">
        <v>0</v>
      </c>
    </row>
    <row r="7" ht="24" customHeight="1" spans="1:4">
      <c r="A7" s="3" t="s">
        <v>218</v>
      </c>
      <c r="B7" s="4" t="s">
        <v>246</v>
      </c>
      <c r="C7" s="5" t="s">
        <v>31</v>
      </c>
      <c r="D7" s="5" t="b">
        <v>0</v>
      </c>
    </row>
    <row r="8" ht="24" customHeight="1" spans="1:4">
      <c r="A8" s="3" t="s">
        <v>372</v>
      </c>
      <c r="B8" s="4" t="s">
        <v>373</v>
      </c>
      <c r="C8" s="5" t="s">
        <v>31</v>
      </c>
      <c r="D8" s="5" t="b">
        <v>0</v>
      </c>
    </row>
    <row r="9" ht="24" customHeight="1" spans="1:4">
      <c r="A9" s="3" t="s">
        <v>223</v>
      </c>
      <c r="B9" s="4" t="s">
        <v>374</v>
      </c>
      <c r="C9" s="5" t="s">
        <v>48</v>
      </c>
      <c r="D9" s="5" t="s">
        <v>225</v>
      </c>
    </row>
    <row r="10" ht="24" customHeight="1" spans="1:4">
      <c r="A10" s="3" t="s">
        <v>375</v>
      </c>
      <c r="B10" s="4" t="s">
        <v>376</v>
      </c>
      <c r="C10" s="5" t="s">
        <v>34</v>
      </c>
      <c r="D10" s="5"/>
    </row>
    <row r="11" ht="24" customHeight="1" spans="1:4">
      <c r="A11" s="3" t="s">
        <v>298</v>
      </c>
      <c r="B11" s="4" t="s">
        <v>377</v>
      </c>
      <c r="C11" s="5" t="s">
        <v>378</v>
      </c>
      <c r="D11" s="5"/>
    </row>
    <row r="13" customHeight="1" spans="1:1">
      <c r="A13" s="1" t="s">
        <v>361</v>
      </c>
    </row>
    <row r="14" customHeight="1" spans="1:2">
      <c r="A14" s="2" t="s">
        <v>320</v>
      </c>
      <c r="B14" s="2" t="s">
        <v>362</v>
      </c>
    </row>
    <row r="15" customHeight="1" spans="1:2">
      <c r="A15" s="3" t="s">
        <v>321</v>
      </c>
      <c r="B15" s="5" t="s">
        <v>363</v>
      </c>
    </row>
    <row r="16" customHeight="1" spans="1:2">
      <c r="A16" s="3" t="s">
        <v>323</v>
      </c>
      <c r="B16" s="5" t="s">
        <v>324</v>
      </c>
    </row>
  </sheetData>
  <hyperlinks>
    <hyperlink ref="A1" r:id="rId1" display="API#"/>
    <hyperlink ref="A13" r:id="rId1" display="方法#"/>
  </hyperlinks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C00000"/>
  </sheetPr>
  <dimension ref="A1:D27"/>
  <sheetViews>
    <sheetView topLeftCell="A22" workbookViewId="0">
      <selection activeCell="A3" sqref="A3:D27"/>
    </sheetView>
  </sheetViews>
  <sheetFormatPr defaultColWidth="17.375" defaultRowHeight="27" customHeight="1" outlineLevelCol="3"/>
  <cols>
    <col min="1" max="1" width="17.375" customWidth="1"/>
    <col min="2" max="2" width="29" customWidth="1"/>
    <col min="3" max="16384" width="17.375" customWidth="1"/>
  </cols>
  <sheetData>
    <row r="1" customHeight="1" spans="1:1">
      <c r="A1" s="1" t="s">
        <v>395</v>
      </c>
    </row>
    <row r="3" customHeight="1" spans="1:1">
      <c r="A3" s="12" t="s">
        <v>380</v>
      </c>
    </row>
    <row r="4" customHeight="1" spans="1:4">
      <c r="A4" s="2" t="s">
        <v>211</v>
      </c>
      <c r="B4" s="2" t="s">
        <v>172</v>
      </c>
      <c r="C4" s="2" t="s">
        <v>173</v>
      </c>
      <c r="D4" s="2" t="s">
        <v>174</v>
      </c>
    </row>
    <row r="5" customHeight="1" spans="1:4">
      <c r="A5" s="3" t="s">
        <v>238</v>
      </c>
      <c r="B5" s="4" t="s">
        <v>339</v>
      </c>
      <c r="C5" s="5" t="s">
        <v>31</v>
      </c>
      <c r="D5" s="5" t="b">
        <v>0</v>
      </c>
    </row>
    <row r="6" customHeight="1" spans="1:4">
      <c r="A6" s="3" t="s">
        <v>366</v>
      </c>
      <c r="B6" s="4" t="s">
        <v>367</v>
      </c>
      <c r="C6" s="5" t="s">
        <v>31</v>
      </c>
      <c r="D6" s="5" t="b">
        <v>0</v>
      </c>
    </row>
    <row r="7" customHeight="1" spans="1:4">
      <c r="A7" s="3" t="s">
        <v>370</v>
      </c>
      <c r="B7" s="4" t="s">
        <v>371</v>
      </c>
      <c r="C7" s="5" t="s">
        <v>31</v>
      </c>
      <c r="D7" s="5" t="b">
        <v>0</v>
      </c>
    </row>
    <row r="8" customHeight="1" spans="1:4">
      <c r="A8" s="3" t="s">
        <v>230</v>
      </c>
      <c r="B8" s="4" t="s">
        <v>381</v>
      </c>
      <c r="C8" s="5" t="s">
        <v>382</v>
      </c>
      <c r="D8" s="5" t="s">
        <v>336</v>
      </c>
    </row>
    <row r="10" customHeight="1" spans="1:1">
      <c r="A10" s="12" t="s">
        <v>383</v>
      </c>
    </row>
    <row r="12" customHeight="1" spans="1:1">
      <c r="A12" s="11" t="s">
        <v>384</v>
      </c>
    </row>
    <row r="14" customHeight="1" spans="1:4">
      <c r="A14" s="2" t="s">
        <v>211</v>
      </c>
      <c r="B14" s="2" t="s">
        <v>172</v>
      </c>
      <c r="C14" s="2" t="s">
        <v>173</v>
      </c>
      <c r="D14" s="2" t="s">
        <v>174</v>
      </c>
    </row>
    <row r="15" customHeight="1" spans="1:4">
      <c r="A15" s="3" t="s">
        <v>216</v>
      </c>
      <c r="B15" s="4" t="s">
        <v>385</v>
      </c>
      <c r="C15" s="5" t="s">
        <v>382</v>
      </c>
      <c r="D15" s="5" t="s">
        <v>336</v>
      </c>
    </row>
    <row r="16" customHeight="1" spans="1:4">
      <c r="A16" s="3" t="s">
        <v>161</v>
      </c>
      <c r="B16" s="4" t="s">
        <v>386</v>
      </c>
      <c r="C16" s="5" t="s">
        <v>48</v>
      </c>
      <c r="D16" s="5" t="s">
        <v>336</v>
      </c>
    </row>
    <row r="17" customHeight="1" spans="1:4">
      <c r="A17" s="3" t="s">
        <v>387</v>
      </c>
      <c r="B17" s="4" t="s">
        <v>388</v>
      </c>
      <c r="C17" s="5" t="s">
        <v>389</v>
      </c>
      <c r="D17" s="5" t="s">
        <v>336</v>
      </c>
    </row>
    <row r="18" customHeight="1" spans="1:4">
      <c r="A18" s="3" t="s">
        <v>223</v>
      </c>
      <c r="B18" s="4" t="s">
        <v>390</v>
      </c>
      <c r="C18" s="6" t="s">
        <v>391</v>
      </c>
      <c r="D18" s="6" t="s">
        <v>225</v>
      </c>
    </row>
    <row r="19" customHeight="1" spans="1:4">
      <c r="A19" s="3" t="s">
        <v>230</v>
      </c>
      <c r="B19" s="4" t="s">
        <v>392</v>
      </c>
      <c r="C19" s="5" t="s">
        <v>382</v>
      </c>
      <c r="D19" s="5" t="s">
        <v>336</v>
      </c>
    </row>
    <row r="20" customHeight="1" spans="1:4">
      <c r="A20" s="3" t="s">
        <v>298</v>
      </c>
      <c r="B20" s="4" t="s">
        <v>393</v>
      </c>
      <c r="C20" s="5" t="s">
        <v>12</v>
      </c>
      <c r="D20" s="5" t="s">
        <v>336</v>
      </c>
    </row>
    <row r="22" customHeight="1" spans="1:1">
      <c r="A22" s="1" t="s">
        <v>361</v>
      </c>
    </row>
    <row r="24" customHeight="1" spans="1:1">
      <c r="A24" s="12" t="s">
        <v>380</v>
      </c>
    </row>
    <row r="25" customHeight="1" spans="1:2">
      <c r="A25" s="2" t="s">
        <v>320</v>
      </c>
      <c r="B25" s="2" t="s">
        <v>362</v>
      </c>
    </row>
    <row r="26" customHeight="1" spans="1:2">
      <c r="A26" s="3" t="s">
        <v>321</v>
      </c>
      <c r="B26" s="5" t="s">
        <v>363</v>
      </c>
    </row>
    <row r="27" customHeight="1" spans="1:2">
      <c r="A27" s="3" t="s">
        <v>323</v>
      </c>
      <c r="B27" s="5" t="s">
        <v>324</v>
      </c>
    </row>
  </sheetData>
  <hyperlinks>
    <hyperlink ref="A1" r:id="rId1" display="API#"/>
    <hyperlink ref="A3" r:id="rId1" display="Radio#"/>
    <hyperlink ref="A10" r:id="rId1" display="RadioGroup#"/>
    <hyperlink ref="A22" r:id="rId1" display="方法#"/>
    <hyperlink ref="A24" r:id="rId1" display="Radio#"/>
  </hyperlinks>
  <pageMargins left="0.75" right="0.75" top="1" bottom="1" header="0.511805555555556" footer="0.511805555555556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D22"/>
  <sheetViews>
    <sheetView workbookViewId="0">
      <selection activeCell="D22" sqref="A1:D22"/>
    </sheetView>
  </sheetViews>
  <sheetFormatPr defaultColWidth="17.625" defaultRowHeight="18" customHeight="1" outlineLevelCol="3"/>
  <cols>
    <col min="1" max="16384" width="17.625" customWidth="1"/>
  </cols>
  <sheetData>
    <row r="1" customHeight="1" spans="1:1">
      <c r="A1" s="1" t="s">
        <v>395</v>
      </c>
    </row>
    <row r="2" customHeight="1" spans="1:4">
      <c r="A2" s="2" t="s">
        <v>211</v>
      </c>
      <c r="B2" s="2" t="s">
        <v>172</v>
      </c>
      <c r="C2" s="2" t="s">
        <v>173</v>
      </c>
      <c r="D2" s="2" t="s">
        <v>174</v>
      </c>
    </row>
    <row r="3" customHeight="1" spans="1:4">
      <c r="A3" s="3" t="s">
        <v>236</v>
      </c>
      <c r="B3" s="4" t="s">
        <v>396</v>
      </c>
      <c r="C3" s="5" t="s">
        <v>31</v>
      </c>
      <c r="D3" s="5" t="b">
        <v>0</v>
      </c>
    </row>
    <row r="4" customHeight="1" spans="1:4">
      <c r="A4" s="3" t="s">
        <v>216</v>
      </c>
      <c r="B4" s="4" t="s">
        <v>397</v>
      </c>
      <c r="C4" s="5" t="s">
        <v>398</v>
      </c>
      <c r="D4" s="5" t="s">
        <v>399</v>
      </c>
    </row>
    <row r="5" customHeight="1" spans="1:4">
      <c r="A5" s="3" t="s">
        <v>218</v>
      </c>
      <c r="B5" s="4" t="s">
        <v>400</v>
      </c>
      <c r="C5" s="5" t="s">
        <v>31</v>
      </c>
      <c r="D5" s="5" t="b">
        <v>0</v>
      </c>
    </row>
    <row r="6" customHeight="1" spans="1:4">
      <c r="A6" s="3" t="s">
        <v>401</v>
      </c>
      <c r="B6" s="4" t="s">
        <v>402</v>
      </c>
      <c r="C6" s="5" t="s">
        <v>31</v>
      </c>
      <c r="D6" s="5" t="b">
        <v>0</v>
      </c>
    </row>
    <row r="7" customHeight="1" spans="1:4">
      <c r="A7" s="3" t="s">
        <v>403</v>
      </c>
      <c r="B7" s="6" t="s">
        <v>404</v>
      </c>
      <c r="C7" s="5" t="s">
        <v>31</v>
      </c>
      <c r="D7" s="5" t="b">
        <v>1</v>
      </c>
    </row>
    <row r="8" customHeight="1" spans="1:4">
      <c r="A8" s="3" t="s">
        <v>405</v>
      </c>
      <c r="B8" s="4" t="s">
        <v>406</v>
      </c>
      <c r="C8" s="5" t="s">
        <v>43</v>
      </c>
      <c r="D8" s="5" t="s">
        <v>407</v>
      </c>
    </row>
    <row r="9" customHeight="1" spans="1:4">
      <c r="A9" s="3" t="s">
        <v>76</v>
      </c>
      <c r="B9" s="4" t="s">
        <v>345</v>
      </c>
      <c r="C9" s="5" t="s">
        <v>75</v>
      </c>
      <c r="D9" s="5">
        <v>100</v>
      </c>
    </row>
    <row r="10" customHeight="1" spans="1:4">
      <c r="A10" s="3" t="s">
        <v>80</v>
      </c>
      <c r="B10" s="4" t="s">
        <v>347</v>
      </c>
      <c r="C10" s="5" t="s">
        <v>75</v>
      </c>
      <c r="D10" s="5">
        <v>0</v>
      </c>
    </row>
    <row r="11" customHeight="1" spans="1:4">
      <c r="A11" s="3" t="s">
        <v>408</v>
      </c>
      <c r="B11" s="4" t="s">
        <v>409</v>
      </c>
      <c r="C11" s="5" t="s">
        <v>31</v>
      </c>
      <c r="D11" s="5" t="b">
        <v>0</v>
      </c>
    </row>
    <row r="12" customHeight="1" spans="1:4">
      <c r="A12" s="3" t="s">
        <v>355</v>
      </c>
      <c r="B12" s="4" t="s">
        <v>410</v>
      </c>
      <c r="C12" s="5" t="s">
        <v>411</v>
      </c>
      <c r="D12" s="5">
        <v>1</v>
      </c>
    </row>
    <row r="13" customHeight="1" spans="1:4">
      <c r="A13" s="3" t="s">
        <v>412</v>
      </c>
      <c r="B13" s="4" t="s">
        <v>413</v>
      </c>
      <c r="C13" s="5" t="s">
        <v>414</v>
      </c>
      <c r="D13" s="5" t="s">
        <v>415</v>
      </c>
    </row>
    <row r="14" customHeight="1" spans="1:4">
      <c r="A14" s="3" t="s">
        <v>230</v>
      </c>
      <c r="B14" s="4" t="s">
        <v>416</v>
      </c>
      <c r="C14" s="5" t="s">
        <v>398</v>
      </c>
      <c r="D14" s="5"/>
    </row>
    <row r="15" customHeight="1" spans="1:4">
      <c r="A15" s="3" t="s">
        <v>417</v>
      </c>
      <c r="B15" s="4" t="s">
        <v>418</v>
      </c>
      <c r="C15" s="5" t="s">
        <v>5</v>
      </c>
      <c r="D15" s="5" t="b">
        <v>0</v>
      </c>
    </row>
    <row r="16" customHeight="1" spans="1:4">
      <c r="A16" s="3" t="s">
        <v>419</v>
      </c>
      <c r="B16" s="4" t="s">
        <v>420</v>
      </c>
      <c r="C16" s="5" t="s">
        <v>421</v>
      </c>
      <c r="D16" s="5" t="s">
        <v>422</v>
      </c>
    </row>
    <row r="17" customHeight="1" spans="1:4">
      <c r="A17" s="3" t="s">
        <v>298</v>
      </c>
      <c r="B17" s="4" t="s">
        <v>423</v>
      </c>
      <c r="C17" s="5" t="s">
        <v>421</v>
      </c>
      <c r="D17" s="5" t="s">
        <v>422</v>
      </c>
    </row>
    <row r="19" customHeight="1" spans="1:1">
      <c r="A19" s="1" t="s">
        <v>361</v>
      </c>
    </row>
    <row r="20" customHeight="1" spans="1:2">
      <c r="A20" s="2" t="s">
        <v>320</v>
      </c>
      <c r="B20" s="2" t="s">
        <v>362</v>
      </c>
    </row>
    <row r="21" customHeight="1" spans="1:2">
      <c r="A21" s="3" t="s">
        <v>321</v>
      </c>
      <c r="B21" s="5" t="s">
        <v>363</v>
      </c>
    </row>
    <row r="22" customHeight="1" spans="1:2">
      <c r="A22" s="3" t="s">
        <v>323</v>
      </c>
      <c r="B22" s="5" t="s">
        <v>324</v>
      </c>
    </row>
  </sheetData>
  <hyperlinks>
    <hyperlink ref="A1" r:id="rId1" display="API#"/>
    <hyperlink ref="A19" r:id="rId1" display="方法#"/>
  </hyperlinks>
  <pageMargins left="0.75" right="0.75" top="1" bottom="1" header="0.511805555555556" footer="0.511805555555556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D18"/>
  <sheetViews>
    <sheetView workbookViewId="0">
      <selection activeCell="D18" sqref="A7:D18"/>
    </sheetView>
  </sheetViews>
  <sheetFormatPr defaultColWidth="26.125" defaultRowHeight="24" customHeight="1" outlineLevelCol="3"/>
  <cols>
    <col min="1" max="1" width="15" customWidth="1"/>
    <col min="2" max="16384" width="26.125" customWidth="1"/>
  </cols>
  <sheetData>
    <row r="1" customHeight="1" spans="1:1">
      <c r="A1" s="1" t="s">
        <v>395</v>
      </c>
    </row>
    <row r="3" customHeight="1" spans="1:1">
      <c r="A3" s="11" t="s">
        <v>601</v>
      </c>
    </row>
    <row r="5" customHeight="1" spans="1:1">
      <c r="A5" s="11" t="s">
        <v>602</v>
      </c>
    </row>
    <row r="7" customHeight="1" spans="1:4">
      <c r="A7" s="2" t="s">
        <v>171</v>
      </c>
      <c r="B7" s="2" t="s">
        <v>172</v>
      </c>
      <c r="C7" s="2" t="s">
        <v>173</v>
      </c>
      <c r="D7" s="2" t="s">
        <v>174</v>
      </c>
    </row>
    <row r="8" customHeight="1" spans="1:4">
      <c r="A8" s="3" t="s">
        <v>426</v>
      </c>
      <c r="B8" s="4" t="s">
        <v>427</v>
      </c>
      <c r="C8" s="5" t="s">
        <v>31</v>
      </c>
      <c r="D8" s="5" t="b">
        <v>0</v>
      </c>
    </row>
    <row r="9" customHeight="1" spans="1:4">
      <c r="A9" s="3" t="s">
        <v>428</v>
      </c>
      <c r="B9" s="4" t="s">
        <v>429</v>
      </c>
      <c r="C9" s="5" t="s">
        <v>48</v>
      </c>
      <c r="D9" s="5" t="s">
        <v>67</v>
      </c>
    </row>
    <row r="10" customHeight="1" spans="1:4">
      <c r="A10" s="3" t="s">
        <v>430</v>
      </c>
      <c r="B10" s="4" t="s">
        <v>431</v>
      </c>
      <c r="C10" s="5" t="s">
        <v>48</v>
      </c>
      <c r="D10" s="6" t="s">
        <v>432</v>
      </c>
    </row>
    <row r="11" customHeight="1" spans="1:4">
      <c r="A11" s="3" t="s">
        <v>433</v>
      </c>
      <c r="B11" s="4" t="s">
        <v>434</v>
      </c>
      <c r="C11" s="5" t="s">
        <v>48</v>
      </c>
      <c r="D11" s="5" t="s">
        <v>67</v>
      </c>
    </row>
    <row r="12" customHeight="1" spans="1:4">
      <c r="A12" s="3" t="s">
        <v>372</v>
      </c>
      <c r="B12" s="4" t="s">
        <v>435</v>
      </c>
      <c r="C12" s="5" t="s">
        <v>436</v>
      </c>
      <c r="D12" s="6" t="b">
        <v>0</v>
      </c>
    </row>
    <row r="13" customHeight="1" spans="1:4">
      <c r="A13" s="3" t="s">
        <v>218</v>
      </c>
      <c r="B13" s="4" t="s">
        <v>437</v>
      </c>
      <c r="C13" s="5" t="s">
        <v>31</v>
      </c>
      <c r="D13" s="6" t="b">
        <v>0</v>
      </c>
    </row>
    <row r="14" customHeight="1" spans="1:4">
      <c r="A14" s="3" t="s">
        <v>438</v>
      </c>
      <c r="B14" s="4" t="s">
        <v>439</v>
      </c>
      <c r="C14" s="5" t="s">
        <v>48</v>
      </c>
      <c r="D14" s="5" t="s">
        <v>67</v>
      </c>
    </row>
    <row r="15" customHeight="1" spans="1:4">
      <c r="A15" s="3" t="s">
        <v>223</v>
      </c>
      <c r="B15" s="4" t="s">
        <v>440</v>
      </c>
      <c r="C15" s="5" t="s">
        <v>48</v>
      </c>
      <c r="D15" s="6" t="s">
        <v>225</v>
      </c>
    </row>
    <row r="16" customHeight="1" spans="1:4">
      <c r="A16" s="3" t="s">
        <v>441</v>
      </c>
      <c r="B16" s="4" t="s">
        <v>442</v>
      </c>
      <c r="C16" s="5" t="s">
        <v>48</v>
      </c>
      <c r="D16" s="5" t="s">
        <v>67</v>
      </c>
    </row>
    <row r="17" customHeight="1" spans="1:4">
      <c r="A17" s="3" t="s">
        <v>51</v>
      </c>
      <c r="B17" s="4" t="s">
        <v>443</v>
      </c>
      <c r="C17" s="5" t="s">
        <v>48</v>
      </c>
      <c r="D17" s="5" t="s">
        <v>67</v>
      </c>
    </row>
    <row r="18" customHeight="1" spans="1:4">
      <c r="A18" s="3" t="s">
        <v>444</v>
      </c>
      <c r="B18" s="6" t="s">
        <v>445</v>
      </c>
      <c r="C18" s="5" t="s">
        <v>297</v>
      </c>
      <c r="D18" s="5" t="s">
        <v>67</v>
      </c>
    </row>
  </sheetData>
  <hyperlinks>
    <hyperlink ref="A1" r:id="rId1" display="API#"/>
    <hyperlink ref="B10" r:id="rId2" display="设置 button 原生的 type 值，可选值请参考 HTML 标准"/>
  </hyperlinks>
  <pageMargins left="0.75" right="0.75" top="1" bottom="1" header="0.511805555555556" footer="0.511805555555556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F23"/>
  <sheetViews>
    <sheetView tabSelected="1" topLeftCell="A15" workbookViewId="0">
      <selection activeCell="A15" sqref="A15"/>
    </sheetView>
  </sheetViews>
  <sheetFormatPr defaultColWidth="15.875" defaultRowHeight="21" customHeight="1" outlineLevelCol="5"/>
  <cols>
    <col min="1" max="1" width="27" customWidth="1"/>
    <col min="2" max="2" width="52.25" customWidth="1"/>
    <col min="3" max="5" width="15.875" customWidth="1"/>
    <col min="6" max="6" width="69.375" customWidth="1"/>
    <col min="7" max="16384" width="15.875" customWidth="1"/>
  </cols>
  <sheetData>
    <row r="1" customHeight="1" spans="1:1">
      <c r="A1" s="1" t="s">
        <v>395</v>
      </c>
    </row>
    <row r="2" customHeight="1" spans="1:1">
      <c r="A2" s="7"/>
    </row>
    <row r="3" customHeight="1" spans="1:1">
      <c r="A3" s="8" t="s">
        <v>603</v>
      </c>
    </row>
    <row r="4" ht="190" customHeight="1" spans="6:6">
      <c r="F4" s="9" t="s">
        <v>604</v>
      </c>
    </row>
    <row r="5" customHeight="1" spans="1:4">
      <c r="A5" s="2" t="s">
        <v>211</v>
      </c>
      <c r="B5" s="2" t="s">
        <v>172</v>
      </c>
      <c r="C5" s="2" t="s">
        <v>173</v>
      </c>
      <c r="D5" s="2" t="s">
        <v>174</v>
      </c>
    </row>
    <row r="6" customHeight="1" spans="1:4">
      <c r="A6" s="3" t="s">
        <v>448</v>
      </c>
      <c r="B6" s="4" t="s">
        <v>449</v>
      </c>
      <c r="C6" s="5" t="s">
        <v>48</v>
      </c>
      <c r="D6" s="5" t="s">
        <v>336</v>
      </c>
    </row>
    <row r="7" customHeight="1" spans="1:5">
      <c r="A7" s="3" t="s">
        <v>450</v>
      </c>
      <c r="B7" s="4" t="s">
        <v>605</v>
      </c>
      <c r="C7" s="5" t="s">
        <v>48</v>
      </c>
      <c r="D7" s="5" t="s">
        <v>336</v>
      </c>
      <c r="E7">
        <v>2</v>
      </c>
    </row>
    <row r="8" customHeight="1" spans="1:4">
      <c r="A8" s="3" t="s">
        <v>452</v>
      </c>
      <c r="B8" s="4" t="s">
        <v>453</v>
      </c>
      <c r="C8" s="5" t="s">
        <v>454</v>
      </c>
      <c r="D8" s="5" t="s">
        <v>336</v>
      </c>
    </row>
    <row r="9" customHeight="1" spans="1:4">
      <c r="A9" s="3" t="s">
        <v>455</v>
      </c>
      <c r="B9" s="4" t="s">
        <v>456</v>
      </c>
      <c r="C9" s="5" t="s">
        <v>457</v>
      </c>
      <c r="D9" s="5" t="s">
        <v>336</v>
      </c>
    </row>
    <row r="10" customHeight="1" spans="1:4">
      <c r="A10" s="3" t="s">
        <v>458</v>
      </c>
      <c r="B10" s="4" t="s">
        <v>459</v>
      </c>
      <c r="C10" s="5" t="s">
        <v>460</v>
      </c>
      <c r="D10" s="5" t="s">
        <v>336</v>
      </c>
    </row>
    <row r="11" customHeight="1" spans="1:5">
      <c r="A11" s="3" t="s">
        <v>461</v>
      </c>
      <c r="B11" s="4" t="s">
        <v>462</v>
      </c>
      <c r="C11" s="5" t="s">
        <v>70</v>
      </c>
      <c r="D11" s="5" t="s">
        <v>336</v>
      </c>
      <c r="E11" s="10" t="s">
        <v>606</v>
      </c>
    </row>
    <row r="12" customHeight="1" spans="1:4">
      <c r="A12" s="3" t="s">
        <v>218</v>
      </c>
      <c r="B12" s="4" t="s">
        <v>246</v>
      </c>
      <c r="C12" s="5" t="s">
        <v>31</v>
      </c>
      <c r="D12" s="5" t="b">
        <v>0</v>
      </c>
    </row>
    <row r="13" customHeight="1" spans="1:4">
      <c r="A13" s="3" t="s">
        <v>463</v>
      </c>
      <c r="B13" s="4" t="s">
        <v>464</v>
      </c>
      <c r="C13" s="5" t="s">
        <v>70</v>
      </c>
      <c r="D13" s="5" t="s">
        <v>336</v>
      </c>
    </row>
    <row r="14" customHeight="1" spans="1:5">
      <c r="A14" s="3" t="s">
        <v>465</v>
      </c>
      <c r="B14" s="4" t="s">
        <v>466</v>
      </c>
      <c r="C14" s="5" t="s">
        <v>43</v>
      </c>
      <c r="D14" s="5" t="s">
        <v>336</v>
      </c>
      <c r="E14">
        <v>3</v>
      </c>
    </row>
    <row r="15" ht="54" customHeight="1" spans="1:4">
      <c r="A15" s="3" t="s">
        <v>467</v>
      </c>
      <c r="B15" s="4" t="s">
        <v>468</v>
      </c>
      <c r="C15" s="5" t="s">
        <v>48</v>
      </c>
      <c r="D15" s="5" t="s">
        <v>469</v>
      </c>
    </row>
    <row r="16" customHeight="1" spans="1:4">
      <c r="A16" s="3" t="s">
        <v>272</v>
      </c>
      <c r="B16" s="4" t="s">
        <v>470</v>
      </c>
      <c r="C16" s="5" t="s">
        <v>31</v>
      </c>
      <c r="D16" s="5" t="b">
        <v>0</v>
      </c>
    </row>
    <row r="17" customHeight="1" spans="1:5">
      <c r="A17" s="3" t="s">
        <v>161</v>
      </c>
      <c r="B17" s="4" t="s">
        <v>471</v>
      </c>
      <c r="C17" s="5" t="s">
        <v>48</v>
      </c>
      <c r="D17" s="5" t="s">
        <v>472</v>
      </c>
      <c r="E17">
        <v>1</v>
      </c>
    </row>
    <row r="18" customHeight="1" spans="1:4">
      <c r="A18" s="3" t="s">
        <v>473</v>
      </c>
      <c r="B18" s="4" t="s">
        <v>474</v>
      </c>
      <c r="C18" s="5" t="s">
        <v>475</v>
      </c>
      <c r="D18" s="5" t="b">
        <v>1</v>
      </c>
    </row>
    <row r="19" ht="32" customHeight="1" spans="1:4">
      <c r="A19" s="3" t="s">
        <v>476</v>
      </c>
      <c r="B19" s="4" t="s">
        <v>477</v>
      </c>
      <c r="C19" s="5" t="s">
        <v>31</v>
      </c>
      <c r="D19" s="5" t="b">
        <v>0</v>
      </c>
    </row>
    <row r="20" customHeight="1" spans="1:4">
      <c r="A20" s="3" t="s">
        <v>478</v>
      </c>
      <c r="B20" s="4" t="s">
        <v>479</v>
      </c>
      <c r="C20" s="5" t="s">
        <v>31</v>
      </c>
      <c r="D20" s="5" t="b">
        <v>0</v>
      </c>
    </row>
    <row r="21" customHeight="1" spans="1:5">
      <c r="A21" s="3" t="s">
        <v>298</v>
      </c>
      <c r="B21" s="4" t="s">
        <v>480</v>
      </c>
      <c r="C21" s="5" t="s">
        <v>457</v>
      </c>
      <c r="D21" s="5" t="s">
        <v>336</v>
      </c>
      <c r="E21">
        <v>4</v>
      </c>
    </row>
    <row r="22" customHeight="1" spans="1:4">
      <c r="A22" s="3" t="s">
        <v>481</v>
      </c>
      <c r="B22" s="4" t="s">
        <v>482</v>
      </c>
      <c r="C22" s="5" t="s">
        <v>483</v>
      </c>
      <c r="D22" s="5" t="s">
        <v>336</v>
      </c>
    </row>
    <row r="23" customHeight="1" spans="1:4">
      <c r="A23" s="3" t="s">
        <v>484</v>
      </c>
      <c r="B23" s="4" t="s">
        <v>485</v>
      </c>
      <c r="C23" s="5" t="s">
        <v>486</v>
      </c>
      <c r="D23" s="5" t="s">
        <v>487</v>
      </c>
    </row>
  </sheetData>
  <hyperlinks>
    <hyperlink ref="A1" r:id="rId1" display="API#"/>
    <hyperlink ref="A3" r:id="rId2" display="服务端上传接口实现可以参考 jQuery-File-Upload。" tooltip="https://github.com/blueimp/jQuery-File-Upload/wiki"/>
    <hyperlink ref="B6" r:id="rId3" display="接受上传的文件类型, 详见 input accept Attribute"/>
    <hyperlink ref="B13" r:id="rId4" display="已经上传的文件列表（受控），使用此参数时，如果遇到 onChange 只调用一次的问题，请参考 #2423" tooltip="https://github.com/ant-design/ant-design/issues/2423"/>
    <hyperlink ref="B21" r:id="rId1" display="上传文件改变时的状态，详见 onChange"/>
  </hyperlinks>
  <pageMargins left="0.75" right="0.75" top="1" bottom="1" header="0.511805555555556" footer="0.511805555555556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D22"/>
  <sheetViews>
    <sheetView topLeftCell="A16" workbookViewId="0">
      <selection activeCell="D22" sqref="A2:D22"/>
    </sheetView>
  </sheetViews>
  <sheetFormatPr defaultColWidth="23.5" defaultRowHeight="24" customHeight="1" outlineLevelCol="3"/>
  <cols>
    <col min="1" max="1" width="17" customWidth="1"/>
    <col min="2" max="16384" width="23.5" customWidth="1"/>
  </cols>
  <sheetData>
    <row r="1" customHeight="1" spans="1:1">
      <c r="A1" s="1" t="s">
        <v>395</v>
      </c>
    </row>
    <row r="2" customHeight="1" spans="1:4">
      <c r="A2" s="2" t="s">
        <v>171</v>
      </c>
      <c r="B2" s="2" t="s">
        <v>172</v>
      </c>
      <c r="C2" s="2" t="s">
        <v>173</v>
      </c>
      <c r="D2" s="2" t="s">
        <v>174</v>
      </c>
    </row>
    <row r="3" customHeight="1" spans="1:4">
      <c r="A3" s="3" t="s">
        <v>236</v>
      </c>
      <c r="B3" s="4" t="s">
        <v>489</v>
      </c>
      <c r="C3" s="5" t="s">
        <v>31</v>
      </c>
      <c r="D3" s="5" t="b">
        <v>1</v>
      </c>
    </row>
    <row r="4" customHeight="1" spans="1:4">
      <c r="A4" s="3" t="s">
        <v>490</v>
      </c>
      <c r="B4" s="4" t="s">
        <v>491</v>
      </c>
      <c r="C4" s="5" t="s">
        <v>31</v>
      </c>
      <c r="D4" s="5" t="b">
        <v>0</v>
      </c>
    </row>
    <row r="5" customHeight="1" spans="1:4">
      <c r="A5" s="3" t="s">
        <v>238</v>
      </c>
      <c r="B5" s="4" t="s">
        <v>339</v>
      </c>
      <c r="C5" s="5" t="s">
        <v>31</v>
      </c>
      <c r="D5" s="5" t="b">
        <v>0</v>
      </c>
    </row>
    <row r="6" customHeight="1" spans="1:4">
      <c r="A6" s="3" t="s">
        <v>492</v>
      </c>
      <c r="B6" s="4" t="s">
        <v>493</v>
      </c>
      <c r="C6" s="5" t="s">
        <v>494</v>
      </c>
      <c r="D6" s="6" t="s">
        <v>495</v>
      </c>
    </row>
    <row r="7" customHeight="1" spans="1:4">
      <c r="A7" s="3" t="s">
        <v>496</v>
      </c>
      <c r="B7" s="4" t="s">
        <v>497</v>
      </c>
      <c r="C7" s="5" t="s">
        <v>48</v>
      </c>
      <c r="D7" s="5" t="s">
        <v>67</v>
      </c>
    </row>
    <row r="8" customHeight="1" spans="1:4">
      <c r="A8" s="3" t="s">
        <v>498</v>
      </c>
      <c r="B8" s="4" t="s">
        <v>499</v>
      </c>
      <c r="C8" s="5" t="s">
        <v>75</v>
      </c>
      <c r="D8" s="5">
        <v>5</v>
      </c>
    </row>
    <row r="9" customHeight="1" spans="1:4">
      <c r="A9" s="3" t="s">
        <v>216</v>
      </c>
      <c r="B9" s="4" t="s">
        <v>174</v>
      </c>
      <c r="C9" s="5" t="s">
        <v>75</v>
      </c>
      <c r="D9" s="5">
        <v>0</v>
      </c>
    </row>
    <row r="10" customHeight="1" spans="1:4">
      <c r="A10" s="3" t="s">
        <v>218</v>
      </c>
      <c r="B10" s="4" t="s">
        <v>500</v>
      </c>
      <c r="C10" s="5" t="s">
        <v>31</v>
      </c>
      <c r="D10" s="5" t="b">
        <v>0</v>
      </c>
    </row>
    <row r="11" customHeight="1" spans="1:4">
      <c r="A11" s="3" t="s">
        <v>501</v>
      </c>
      <c r="B11" s="4" t="s">
        <v>502</v>
      </c>
      <c r="C11" s="5" t="s">
        <v>43</v>
      </c>
      <c r="D11" s="5" t="s">
        <v>67</v>
      </c>
    </row>
    <row r="12" customHeight="1" spans="1:4">
      <c r="A12" s="3" t="s">
        <v>230</v>
      </c>
      <c r="B12" s="4" t="s">
        <v>503</v>
      </c>
      <c r="C12" s="5" t="s">
        <v>75</v>
      </c>
      <c r="D12" s="5" t="s">
        <v>67</v>
      </c>
    </row>
    <row r="13" customHeight="1" spans="1:4">
      <c r="A13" s="3" t="s">
        <v>295</v>
      </c>
      <c r="B13" s="4" t="s">
        <v>504</v>
      </c>
      <c r="C13" s="5" t="s">
        <v>505</v>
      </c>
      <c r="D13" s="5" t="s">
        <v>67</v>
      </c>
    </row>
    <row r="14" customHeight="1" spans="1:4">
      <c r="A14" s="3" t="s">
        <v>298</v>
      </c>
      <c r="B14" s="4" t="s">
        <v>506</v>
      </c>
      <c r="C14" s="5" t="s">
        <v>507</v>
      </c>
      <c r="D14" s="5" t="s">
        <v>67</v>
      </c>
    </row>
    <row r="15" customHeight="1" spans="1:4">
      <c r="A15" s="3" t="s">
        <v>304</v>
      </c>
      <c r="B15" s="4" t="s">
        <v>508</v>
      </c>
      <c r="C15" s="5" t="s">
        <v>505</v>
      </c>
      <c r="D15" s="5" t="s">
        <v>67</v>
      </c>
    </row>
    <row r="16" customHeight="1" spans="1:4">
      <c r="A16" s="3" t="s">
        <v>509</v>
      </c>
      <c r="B16" s="4" t="s">
        <v>510</v>
      </c>
      <c r="C16" s="5" t="s">
        <v>507</v>
      </c>
      <c r="D16" s="5" t="s">
        <v>67</v>
      </c>
    </row>
    <row r="17" customHeight="1" spans="1:4">
      <c r="A17" s="3" t="s">
        <v>511</v>
      </c>
      <c r="B17" s="4" t="s">
        <v>512</v>
      </c>
      <c r="C17" s="5" t="s">
        <v>513</v>
      </c>
      <c r="D17" s="5" t="s">
        <v>67</v>
      </c>
    </row>
    <row r="19" customHeight="1" spans="1:1">
      <c r="A19" s="1" t="s">
        <v>361</v>
      </c>
    </row>
    <row r="20" customHeight="1" spans="1:2">
      <c r="A20" s="2" t="s">
        <v>320</v>
      </c>
      <c r="B20" s="2" t="s">
        <v>362</v>
      </c>
    </row>
    <row r="21" customHeight="1" spans="1:2">
      <c r="A21" s="3" t="s">
        <v>321</v>
      </c>
      <c r="B21" s="5" t="s">
        <v>363</v>
      </c>
    </row>
    <row r="22" customHeight="1" spans="1:2">
      <c r="A22" s="3" t="s">
        <v>323</v>
      </c>
      <c r="B22" s="5" t="s">
        <v>324</v>
      </c>
    </row>
  </sheetData>
  <hyperlinks>
    <hyperlink ref="A1" r:id="rId1" display="API#"/>
    <hyperlink ref="A19" r:id="rId1" display="方法#"/>
  </hyperlink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API文档</vt:lpstr>
      <vt:lpstr>json格式</vt:lpstr>
      <vt:lpstr>自动化脚本</vt:lpstr>
      <vt:lpstr>工具</vt:lpstr>
      <vt:lpstr>Form.Item.type</vt:lpstr>
      <vt:lpstr>rules.type</vt:lpstr>
      <vt:lpstr>Select</vt:lpstr>
      <vt:lpstr>input</vt:lpstr>
      <vt:lpstr>InputNumber</vt:lpstr>
      <vt:lpstr>Switch</vt:lpstr>
      <vt:lpstr>Radio</vt:lpstr>
      <vt:lpstr>Slider</vt:lpstr>
      <vt:lpstr>Button</vt:lpstr>
      <vt:lpstr>Upload</vt:lpstr>
      <vt:lpstr>Rate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俊杰奋进</cp:lastModifiedBy>
  <dcterms:created xsi:type="dcterms:W3CDTF">2018-05-10T06:55:00Z</dcterms:created>
  <dcterms:modified xsi:type="dcterms:W3CDTF">2018-05-25T11:18:36Z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