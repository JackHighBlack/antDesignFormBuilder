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970" activeTab="3"/>
  </bookViews>
  <sheets>
    <sheet name="API文档" sheetId="1" r:id="rId1"/>
    <sheet name="json格式" sheetId="3" r:id="rId2"/>
    <sheet name="自动化脚本" sheetId="4" r:id="rId3"/>
    <sheet name="工具" sheetId="5" r:id="rId4"/>
  </sheets>
  <calcPr calcId="144525" concurrentCalc="0"/>
</workbook>
</file>

<file path=xl/sharedStrings.xml><?xml version="1.0" encoding="utf-8"?>
<sst xmlns="http://schemas.openxmlformats.org/spreadsheetml/2006/main" count="206">
  <si>
    <t>顶级</t>
  </si>
  <si>
    <t>Form</t>
  </si>
  <si>
    <t>Attr</t>
  </si>
  <si>
    <t>hideRequiredMark</t>
  </si>
  <si>
    <t>隐藏所有表单项的必选标记</t>
  </si>
  <si>
    <t>Boolean</t>
  </si>
  <si>
    <t>layout</t>
  </si>
  <si>
    <t>表单布局(2.8 之后支持)</t>
  </si>
  <si>
    <t>'horizontal'|'vertical'|'inline'</t>
  </si>
  <si>
    <t>'horizontal'</t>
  </si>
  <si>
    <t>onSubmit</t>
  </si>
  <si>
    <t>数据验证成功后回调事件</t>
  </si>
  <si>
    <t>Function(e:Event)</t>
  </si>
  <si>
    <t>Form.create(options)</t>
  </si>
  <si>
    <t>mapPropsToFields</t>
  </si>
  <si>
    <t>把父组件的属性映射到表单项上（如：把 Redux store 中的值读出），需要对返回值中的表单域数据用 Form.createFormField 标记</t>
  </si>
  <si>
    <t>(props) =&gt; Object{ fieldName: FormField { value } }</t>
  </si>
  <si>
    <t>validateMessages</t>
  </si>
  <si>
    <t>默认校验信息，可用于把默认错误信息改为中文等，格式与 newMessages 返回值一致</t>
  </si>
  <si>
    <t>Object { nested.path: String }</t>
  </si>
  <si>
    <t>onFieldsChange</t>
  </si>
  <si>
    <r>
      <rPr>
        <sz val="10.5"/>
        <color rgb="FF314659"/>
        <rFont val="Segoe UI"/>
        <charset val="134"/>
      </rPr>
      <t>当 </t>
    </r>
    <r>
      <rPr>
        <sz val="10.8"/>
        <color rgb="FF314659"/>
        <rFont val="Consolas"/>
        <charset val="134"/>
      </rPr>
      <t>Form.Item</t>
    </r>
    <r>
      <rPr>
        <sz val="10.5"/>
        <color rgb="FF314659"/>
        <rFont val="Segoe UI"/>
        <charset val="134"/>
      </rPr>
      <t> 子节点的值发生改变时触发，可以把对应的值转存到 Redux store</t>
    </r>
  </si>
  <si>
    <t>Function(props, fields)</t>
  </si>
  <si>
    <t>onValuesChange</t>
  </si>
  <si>
    <t>任一表单域的值发生改变时的回调</t>
  </si>
  <si>
    <t>(props, changedValues, allValues) =&gt; void</t>
  </si>
  <si>
    <t>Form.createFormField</t>
  </si>
  <si>
    <r>
      <rPr>
        <sz val="10.5"/>
        <color rgb="FF314659"/>
        <rFont val="Segoe UI"/>
        <charset val="134"/>
      </rPr>
      <t>用于标记</t>
    </r>
    <r>
      <rPr>
        <sz val="10.5"/>
        <color rgb="FF314659"/>
        <rFont val="Segoe UI"/>
        <charset val="134"/>
      </rPr>
      <t> </t>
    </r>
    <r>
      <rPr>
        <sz val="10.8"/>
        <color rgb="FF314659"/>
        <rFont val="Consolas"/>
        <charset val="134"/>
      </rPr>
      <t>mapPropsToFields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Segoe UI"/>
        <charset val="134"/>
      </rPr>
      <t>返回的表单域数据</t>
    </r>
  </si>
  <si>
    <t>Form.Item</t>
  </si>
  <si>
    <t>colon</t>
  </si>
  <si>
    <t>配合 label 属性使用，表示是否显示 label 后面的冒号</t>
  </si>
  <si>
    <t>boolean</t>
  </si>
  <si>
    <t>extra</t>
  </si>
  <si>
    <t>额外的提示信息，和 help 类似，当需要错误信息和提示文案同时出现时，可以使用这个。</t>
  </si>
  <si>
    <t>string|ReactNode</t>
  </si>
  <si>
    <t>hasFeedback</t>
  </si>
  <si>
    <t>配合 validateStatus 属性使用，展示校验状态图标，建议只配合 Input 组件使用</t>
  </si>
  <si>
    <t xml:space="preserve">help </t>
  </si>
  <si>
    <t>提示信息，如不设置，则会根据校验规则自动生成</t>
  </si>
  <si>
    <t>label</t>
  </si>
  <si>
    <t>label 标签的文本</t>
  </si>
  <si>
    <t>labelCol</t>
  </si>
  <si>
    <r>
      <rPr>
        <sz val="10.5"/>
        <color rgb="FF314659"/>
        <rFont val="Segoe UI"/>
        <charset val="134"/>
      </rPr>
      <t xml:space="preserve">label </t>
    </r>
    <r>
      <rPr>
        <sz val="10.5"/>
        <color rgb="FF314659"/>
        <rFont val="宋体"/>
        <charset val="134"/>
      </rPr>
      <t>标签布局，同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&lt;Col&gt;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组件，设置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spanoffset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值，如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{span: 3, offset: 12}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或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sm: {span: 3, offset: 12}</t>
    </r>
  </si>
  <si>
    <t>object</t>
  </si>
  <si>
    <t>required</t>
  </si>
  <si>
    <t>是否必填，如不设置，则会根据校验规则自动生成</t>
  </si>
  <si>
    <t>validateStatus</t>
  </si>
  <si>
    <t>校验状态，如不设置，则会根据校验规则自动生成，可选：'success' 'warning' 'error' 'validating'</t>
  </si>
  <si>
    <t>string</t>
  </si>
  <si>
    <t>wrapperCol</t>
  </si>
  <si>
    <r>
      <rPr>
        <sz val="10.5"/>
        <color rgb="FF314659"/>
        <rFont val="宋体"/>
        <charset val="134"/>
      </rPr>
      <t>需要为输入控件设置布局样式时，使用该属性，用法同</t>
    </r>
    <r>
      <rPr>
        <sz val="10.5"/>
        <color rgb="FF314659"/>
        <rFont val="Segoe UI"/>
        <charset val="134"/>
      </rPr>
      <t xml:space="preserve"> labelCol</t>
    </r>
  </si>
  <si>
    <t>type</t>
  </si>
  <si>
    <t>(输入框的类型先完成Input和Button 默认是Input,如果是Button就不用 getFieldDecorator)</t>
  </si>
  <si>
    <t>getFieldDecorator</t>
  </si>
  <si>
    <t>()</t>
  </si>
  <si>
    <r>
      <rPr>
        <sz val="10.5"/>
        <color rgb="FF314659"/>
        <rFont val="宋体"/>
        <charset val="134"/>
      </rPr>
      <t>用于和表单进行双向绑定，详见下方描述</t>
    </r>
    <r>
      <rPr>
        <sz val="10.5"/>
        <color rgb="FF314659"/>
        <rFont val="Segoe UI"/>
        <charset val="134"/>
      </rPr>
      <t xml:space="preserve">    getFieldDecorator(id, options) </t>
    </r>
    <r>
      <rPr>
        <sz val="10.5"/>
        <color rgb="FF314659"/>
        <rFont val="宋体"/>
        <charset val="134"/>
      </rPr>
      <t>参数</t>
    </r>
  </si>
  <si>
    <t>id</t>
  </si>
  <si>
    <t>必填输入控件唯一标志。支持嵌套式的写法。</t>
  </si>
  <si>
    <t>options.getValueFromEvent</t>
  </si>
  <si>
    <t>可以把 onChange 的参数（如 event）转化为控件的值</t>
  </si>
  <si>
    <t>function(..args)</t>
  </si>
  <si>
    <t>reference</t>
  </si>
  <si>
    <t>options.initialValue</t>
  </si>
  <si>
    <r>
      <rPr>
        <sz val="10.5"/>
        <color rgb="FF314659"/>
        <rFont val="Segoe UI"/>
        <charset val="134"/>
      </rPr>
      <t>子节点的初始值，类型、可选值均由子节点决定(注意：由于内部校验时使用 </t>
    </r>
    <r>
      <rPr>
        <sz val="10.8"/>
        <color rgb="FF314659"/>
        <rFont val="Consolas"/>
        <charset val="134"/>
      </rPr>
      <t>===</t>
    </r>
    <r>
      <rPr>
        <sz val="10.5"/>
        <color rgb="FF314659"/>
        <rFont val="Segoe UI"/>
        <charset val="134"/>
      </rPr>
      <t> 判断是否变化，建议使用变量缓存所需设置的值而非直接使用字面量))</t>
    </r>
  </si>
  <si>
    <t>options.normalize</t>
  </si>
  <si>
    <t>转换默认的 value 给控件，一个选择全部的例子</t>
  </si>
  <si>
    <t>function(value, prevValue, allValues): any</t>
  </si>
  <si>
    <t>-</t>
  </si>
  <si>
    <t>options.rules</t>
  </si>
  <si>
    <t>校验规则，参考下方文档</t>
  </si>
  <si>
    <t>object[]</t>
  </si>
  <si>
    <t>enum</t>
  </si>
  <si>
    <t>枚举类型</t>
  </si>
  <si>
    <t>len</t>
  </si>
  <si>
    <t>字段长度</t>
  </si>
  <si>
    <t>number</t>
  </si>
  <si>
    <t>max</t>
  </si>
  <si>
    <t>最大长度</t>
  </si>
  <si>
    <t>message</t>
  </si>
  <si>
    <r>
      <rPr>
        <sz val="10.5"/>
        <color rgb="FF000000"/>
        <rFont val="Segoe UI"/>
        <charset val="134"/>
      </rPr>
      <t>校验</t>
    </r>
    <r>
      <rPr>
        <sz val="10.5"/>
        <color rgb="FF314659"/>
        <rFont val="Segoe UI"/>
        <charset val="134"/>
      </rPr>
      <t>文案</t>
    </r>
  </si>
  <si>
    <t>min</t>
  </si>
  <si>
    <t>最小长度</t>
  </si>
  <si>
    <t>pattern</t>
  </si>
  <si>
    <r>
      <rPr>
        <sz val="10.5"/>
        <color rgb="FF314659"/>
        <rFont val="Segoe UI"/>
        <charset val="134"/>
      </rPr>
      <t>正则表达式</t>
    </r>
    <r>
      <rPr>
        <sz val="10.5"/>
        <color rgb="FF000000"/>
        <rFont val="Segoe UI"/>
        <charset val="134"/>
      </rPr>
      <t>校验</t>
    </r>
  </si>
  <si>
    <t>RegExp</t>
  </si>
  <si>
    <t>是否必选</t>
  </si>
  <si>
    <t>transform</t>
  </si>
  <si>
    <r>
      <rPr>
        <sz val="10.5"/>
        <color rgb="FF000000"/>
        <rFont val="Segoe UI"/>
        <charset val="134"/>
      </rPr>
      <t>校验</t>
    </r>
    <r>
      <rPr>
        <sz val="10.5"/>
        <color rgb="FF314659"/>
        <rFont val="Segoe UI"/>
        <charset val="134"/>
      </rPr>
      <t>前转换字段值</t>
    </r>
  </si>
  <si>
    <t>function(value) =&gt; transformedValue:any</t>
  </si>
  <si>
    <t>内建校验类型，可选项</t>
  </si>
  <si>
    <t>'string'</t>
  </si>
  <si>
    <t>validator</t>
  </si>
  <si>
    <t>自定义校验（注意，callback 必须被调用）</t>
  </si>
  <si>
    <t>function(rule, value, callback)</t>
  </si>
  <si>
    <t>whitespace</t>
  </si>
  <si>
    <t>必选时，空格是否会被视为错误</t>
  </si>
  <si>
    <t>options.trigger</t>
  </si>
  <si>
    <t>收集子节点的值的时机</t>
  </si>
  <si>
    <t>'onChange'</t>
  </si>
  <si>
    <t>options.validateFirst</t>
  </si>
  <si>
    <t>当某一规则校验不通过时，是否停止剩下的规则的校验</t>
  </si>
  <si>
    <t>options.validateTrigger</t>
  </si>
  <si>
    <t>校验子节点值的时机</t>
  </si>
  <si>
    <t>string|string[]</t>
  </si>
  <si>
    <t>options.valuePropName</t>
  </si>
  <si>
    <t>子节点的值的属性，如 Switch 的是 'checked'</t>
  </si>
  <si>
    <t>'value'</t>
  </si>
  <si>
    <t>getFieldError</t>
  </si>
  <si>
    <t>获取某个输入控件的 Error</t>
  </si>
  <si>
    <t>Function(name)</t>
  </si>
  <si>
    <t>getFieldsError</t>
  </si>
  <si>
    <t>获取一组输入控件的 Error ，如不传入参数，则获取全部组件的 Error</t>
  </si>
  <si>
    <t>Function([names: string[]])</t>
  </si>
  <si>
    <t>getFieldsValue</t>
  </si>
  <si>
    <t>获取一组输入控件的值，如不传入参数，则获取全部组件的值</t>
  </si>
  <si>
    <t>Function([fieldNames: string[]])</t>
  </si>
  <si>
    <t>getFieldValue</t>
  </si>
  <si>
    <t>获取一个输入控件的值</t>
  </si>
  <si>
    <t>Function(fieldName: string)</t>
  </si>
  <si>
    <t>isFieldsTouched</t>
  </si>
  <si>
    <r>
      <rPr>
        <sz val="10.5"/>
        <color rgb="FF314659"/>
        <rFont val="Segoe UI"/>
        <charset val="134"/>
      </rPr>
      <t>判断是否任一输入控件经历过 </t>
    </r>
    <r>
      <rPr>
        <sz val="10.8"/>
        <color rgb="FF314659"/>
        <rFont val="Consolas"/>
        <charset val="134"/>
      </rPr>
      <t>getFieldDecorator</t>
    </r>
    <r>
      <rPr>
        <sz val="10.5"/>
        <color rgb="FF314659"/>
        <rFont val="Segoe UI"/>
        <charset val="134"/>
      </rPr>
      <t> 的值收集时机 </t>
    </r>
    <r>
      <rPr>
        <sz val="10.8"/>
        <color rgb="FF314659"/>
        <rFont val="Consolas"/>
        <charset val="134"/>
      </rPr>
      <t>options.trigger</t>
    </r>
  </si>
  <si>
    <t>(names?: string[]) =&gt; boolean</t>
  </si>
  <si>
    <t>isFieldTouched</t>
  </si>
  <si>
    <r>
      <rPr>
        <sz val="10.5"/>
        <color rgb="FF314659"/>
        <rFont val="Segoe UI"/>
        <charset val="134"/>
      </rPr>
      <t>判断一个输入控件是否经历过 </t>
    </r>
    <r>
      <rPr>
        <sz val="10.8"/>
        <color rgb="FF314659"/>
        <rFont val="Consolas"/>
        <charset val="134"/>
      </rPr>
      <t>getFieldDecorator</t>
    </r>
    <r>
      <rPr>
        <sz val="10.5"/>
        <color rgb="FF314659"/>
        <rFont val="Segoe UI"/>
        <charset val="134"/>
      </rPr>
      <t> 的值收集时机 </t>
    </r>
    <r>
      <rPr>
        <sz val="10.8"/>
        <color rgb="FF314659"/>
        <rFont val="Consolas"/>
        <charset val="134"/>
      </rPr>
      <t>options.trigger</t>
    </r>
  </si>
  <si>
    <t>(name: string) =&gt; boolean</t>
  </si>
  <si>
    <t>isFieldValidating</t>
  </si>
  <si>
    <t>判断一个输入控件是否在校验状态</t>
  </si>
  <si>
    <t>resetFields</t>
  </si>
  <si>
    <r>
      <rPr>
        <sz val="10.5"/>
        <color rgb="FF314659"/>
        <rFont val="Segoe UI"/>
        <charset val="134"/>
      </rPr>
      <t>重置一组输入控件的值（为 </t>
    </r>
    <r>
      <rPr>
        <sz val="10.8"/>
        <color rgb="FF314659"/>
        <rFont val="Consolas"/>
        <charset val="134"/>
      </rPr>
      <t>initialValue</t>
    </r>
    <r>
      <rPr>
        <sz val="10.5"/>
        <color rgb="FF314659"/>
        <rFont val="Segoe UI"/>
        <charset val="134"/>
      </rPr>
      <t>）与状态，如不传入参数，则重置所有组件</t>
    </r>
  </si>
  <si>
    <t>setFields</t>
  </si>
  <si>
    <t>设置一组输入控件的值与 Error。 代码</t>
  </si>
  <si>
    <t>Function({ fieldName: { value: any, errors: Error } })</t>
  </si>
  <si>
    <t>setFieldsValue</t>
  </si>
  <si>
    <t>设置一组输入控件的值（注意：不要在 componentWillReceiveProps 内使用，否则会导致死循环，更多）</t>
  </si>
  <si>
    <t>Function({ fieldName: value }</t>
  </si>
  <si>
    <t>validateFields</t>
  </si>
  <si>
    <t>校验并获取一组输入域的值与 Error，若 fieldNames 参数为空，则校验全部组件</t>
  </si>
  <si>
    <t>Function([fieldNames: string[]], options: object, callback: Function(errors, values))</t>
  </si>
  <si>
    <t>validateFieldsAndScroll</t>
  </si>
  <si>
    <r>
      <rPr>
        <sz val="10.5"/>
        <color rgb="FF314659"/>
        <rFont val="Segoe UI"/>
        <charset val="134"/>
      </rPr>
      <t>与 </t>
    </r>
    <r>
      <rPr>
        <sz val="10.8"/>
        <color rgb="FF314659"/>
        <rFont val="Consolas"/>
        <charset val="134"/>
      </rPr>
      <t>validateFields</t>
    </r>
    <r>
      <rPr>
        <sz val="10.5"/>
        <color rgb="FF314659"/>
        <rFont val="Segoe UI"/>
        <charset val="134"/>
      </rPr>
      <t> 相似，但校验完后，如果校验不通过的菜单域不在可见范围内，则自动滚动进可见范围</t>
    </r>
  </si>
  <si>
    <r>
      <rPr>
        <sz val="9"/>
        <color rgb="FF314659"/>
        <rFont val="Lucida Console"/>
        <charset val="134"/>
      </rPr>
      <t>参考 </t>
    </r>
    <r>
      <rPr>
        <sz val="10.8"/>
        <color rgb="FF314659"/>
        <rFont val="Consolas"/>
        <charset val="134"/>
      </rPr>
      <t>validateFields</t>
    </r>
  </si>
  <si>
    <t>this.props.form.validateFields
/validateFieldsAndScrolll</t>
  </si>
  <si>
    <t>options.first</t>
  </si>
  <si>
    <t>若为 true，则每一表单域的都会在碰到第一个失败了的校验规则后停止校验</t>
  </si>
  <si>
    <t>options.firstFields</t>
  </si>
  <si>
    <t>指定表单域会在碰到第一个失败了的校验规则后停止校验</t>
  </si>
  <si>
    <t>String[]</t>
  </si>
  <si>
    <t>[]</t>
  </si>
  <si>
    <t>options.force</t>
  </si>
  <si>
    <r>
      <rPr>
        <sz val="10.5"/>
        <color rgb="FF314659"/>
        <rFont val="宋体"/>
        <charset val="134"/>
      </rPr>
      <t>对已经校验过的表单域，在</t>
    </r>
    <r>
      <rPr>
        <sz val="10.5"/>
        <color rgb="FF314659"/>
        <rFont val="Segoe UI"/>
        <charset val="134"/>
      </rPr>
      <t xml:space="preserve"> validateTrigger </t>
    </r>
    <r>
      <rPr>
        <sz val="10.5"/>
        <color rgb="FF314659"/>
        <rFont val="宋体"/>
        <charset val="134"/>
      </rPr>
      <t>再次被触发时是否再次校验</t>
    </r>
  </si>
  <si>
    <t>options.scroll</t>
  </si>
  <si>
    <t>定义 validateFieldsAndScroll 的滚动行为，详细配置见 dom-scroll-into-view config</t>
  </si>
  <si>
    <t>Object</t>
  </si>
  <si>
    <t>{}</t>
  </si>
  <si>
    <t>LBL,TYP,FLDSZ,REQD,UNIQ,SCU,Aid,Content,</t>
  </si>
  <si>
    <t>antButton,antButton,m,0,0,pub,antButton,antButton,</t>
  </si>
  <si>
    <t>:{</t>
  </si>
  <si>
    <t>:"",</t>
  </si>
  <si>
    <t>FormItems</t>
  </si>
  <si>
    <t>Form.Item(FromItem)</t>
  </si>
  <si>
    <t>加个type</t>
  </si>
  <si>
    <t>name</t>
  </si>
  <si>
    <t xml:space="preserve"> attr</t>
  </si>
  <si>
    <t>options.rules(Rules)</t>
  </si>
  <si>
    <t>首字母大写其余小写</t>
  </si>
  <si>
    <t>节点</t>
  </si>
  <si>
    <t>首字母大写,其余保留</t>
  </si>
  <si>
    <t>attr</t>
  </si>
  <si>
    <t>FormItem</t>
  </si>
  <si>
    <t>现在的自动化基本,只是修改Json中的值,HTML可以保留,JS修改</t>
  </si>
  <si>
    <t>校验规则</t>
  </si>
  <si>
    <t>属性</t>
  </si>
  <si>
    <t>说明</t>
  </si>
  <si>
    <t>类型</t>
  </si>
  <si>
    <t>默认值</t>
  </si>
  <si>
    <t>样式</t>
  </si>
  <si>
    <t>授权的属性</t>
  </si>
  <si>
    <t>Json中的值</t>
  </si>
  <si>
    <t>控件名</t>
  </si>
  <si>
    <t>控件API字段</t>
  </si>
  <si>
    <t>控件类型</t>
  </si>
  <si>
    <t>Notice</t>
  </si>
  <si>
    <t>选项列表</t>
  </si>
  <si>
    <t>JsonStruct</t>
  </si>
  <si>
    <t>HTML</t>
  </si>
  <si>
    <t>JS</t>
  </si>
  <si>
    <t>Json</t>
  </si>
  <si>
    <t>JS setPropertieValues 根据Json中的值给控件赋值 自己加</t>
  </si>
  <si>
    <t>Rules</t>
  </si>
  <si>
    <t>文本</t>
  </si>
  <si>
    <t>FormItem.getFieldDecorator.rules</t>
  </si>
  <si>
    <t>下拉框</t>
  </si>
  <si>
    <t>&lt;false&gt;,&lt;true&gt;</t>
  </si>
  <si>
    <t>JS propertyInit() 后面</t>
  </si>
  <si>
    <t>true,false</t>
  </si>
  <si>
    <r>
      <rPr>
        <sz val="10.5"/>
        <color rgb="FF314659"/>
        <rFont val="Segoe UI"/>
        <charset val="134"/>
      </rPr>
      <t>label 标签布局，同 </t>
    </r>
    <r>
      <rPr>
        <sz val="10.8"/>
        <color rgb="FF314659"/>
        <rFont val="Consolas"/>
        <charset val="134"/>
      </rPr>
      <t>&lt;Col&gt;</t>
    </r>
    <r>
      <rPr>
        <sz val="10.5"/>
        <color rgb="FF314659"/>
        <rFont val="Segoe UI"/>
        <charset val="134"/>
      </rPr>
      <t> 组件，设置 </t>
    </r>
    <r>
      <rPr>
        <sz val="10.8"/>
        <color rgb="FF314659"/>
        <rFont val="Consolas"/>
        <charset val="134"/>
      </rPr>
      <t>spanoffset</t>
    </r>
    <r>
      <rPr>
        <sz val="10.5"/>
        <color rgb="FF314659"/>
        <rFont val="Segoe UI"/>
        <charset val="134"/>
      </rPr>
      <t> 值，如 </t>
    </r>
    <r>
      <rPr>
        <sz val="10.8"/>
        <color rgb="FF314659"/>
        <rFont val="Consolas"/>
        <charset val="134"/>
      </rPr>
      <t>{span: 3, offset: 12}</t>
    </r>
    <r>
      <rPr>
        <sz val="10.5"/>
        <color rgb="FF314659"/>
        <rFont val="Segoe UI"/>
        <charset val="134"/>
      </rPr>
      <t> 或 </t>
    </r>
    <r>
      <rPr>
        <sz val="10.8"/>
        <color rgb="FF314659"/>
        <rFont val="Consolas"/>
        <charset val="134"/>
      </rPr>
      <t>sm: {span: 3, offset: 12}</t>
    </r>
  </si>
  <si>
    <t>设置控件的名称和Dom Id(不可以重复,不能包含特殊符号,且是英文,)</t>
  </si>
  <si>
    <t>赋值权限</t>
  </si>
  <si>
    <t>控件内属性</t>
  </si>
  <si>
    <t>pFormItemcolon</t>
  </si>
  <si>
    <t>pFormItemextra</t>
  </si>
  <si>
    <t>pFormItemlabel</t>
  </si>
  <si>
    <t>pFormItemlabelCol</t>
  </si>
  <si>
    <t>pFormItemwrapperCol</t>
  </si>
  <si>
    <t>pFormItemtype</t>
  </si>
  <si>
    <t>pFormItemname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</si>
</sst>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b/>
      <sz val="11"/>
      <color rgb="FF5C6B77"/>
      <name val="宋体"/>
      <charset val="134"/>
    </font>
    <font>
      <sz val="10.5"/>
      <color rgb="FF314659"/>
      <name val="Lucida Console"/>
      <charset val="134"/>
    </font>
    <font>
      <sz val="10.5"/>
      <color rgb="FF314659"/>
      <name val="Segoe UI"/>
      <charset val="134"/>
    </font>
    <font>
      <sz val="9"/>
      <color rgb="FF314659"/>
      <name val="Lucida Console"/>
      <charset val="134"/>
    </font>
    <font>
      <sz val="10.5"/>
      <color rgb="FF000000"/>
      <name val="Segoe UI"/>
      <charset val="134"/>
    </font>
    <font>
      <sz val="10.8"/>
      <color rgb="FF314659"/>
      <name val="Consolas"/>
      <charset val="134"/>
    </font>
    <font>
      <sz val="9"/>
      <color rgb="FF1890FF"/>
      <name val="Lucida Console"/>
      <charset val="134"/>
    </font>
    <font>
      <sz val="10.5"/>
      <color rgb="FF314659"/>
      <name val="宋体"/>
      <charset val="134"/>
    </font>
    <font>
      <sz val="11"/>
      <color rgb="FFFF0000"/>
      <name val="宋体"/>
      <charset val="134"/>
      <scheme val="minor"/>
    </font>
    <font>
      <sz val="10.5"/>
      <color theme="1"/>
      <name val="宋体"/>
      <charset val="134"/>
      <scheme val="minor"/>
    </font>
    <font>
      <sz val="11"/>
      <color rgb="FFFFC000"/>
      <name val="宋体"/>
      <charset val="134"/>
      <scheme val="minor"/>
    </font>
    <font>
      <sz val="10"/>
      <color rgb="FF000080"/>
      <name val="Arial Unicode MS"/>
      <charset val="134"/>
    </font>
    <font>
      <sz val="11"/>
      <name val="宋体"/>
      <charset val="134"/>
      <scheme val="minor"/>
    </font>
    <font>
      <sz val="11"/>
      <color theme="4"/>
      <name val="宋体"/>
      <charset val="134"/>
      <scheme val="minor"/>
    </font>
    <font>
      <sz val="13.5"/>
      <color rgb="FF0D1A26"/>
      <name val="Segoe UI"/>
      <charset val="134"/>
    </font>
    <font>
      <sz val="10.5"/>
      <color rgb="FFFF0000"/>
      <name val="宋体"/>
      <charset val="134"/>
    </font>
    <font>
      <sz val="10.5"/>
      <name val="Lucida Console"/>
      <charset val="134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rgb="FF314659"/>
      <name val="Consolas"/>
      <charset val="134"/>
    </font>
  </fonts>
  <fills count="3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4" fillId="8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21" borderId="7" applyNumberFormat="0" applyFont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22" fillId="0" borderId="2" applyNumberFormat="0" applyFill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30" fillId="0" borderId="5" applyNumberFormat="0" applyFill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33" fillId="7" borderId="8" applyNumberFormat="0" applyAlignment="0" applyProtection="0">
      <alignment vertical="center"/>
    </xf>
    <xf numFmtId="0" fontId="21" fillId="7" borderId="3" applyNumberFormat="0" applyAlignment="0" applyProtection="0">
      <alignment vertical="center"/>
    </xf>
    <xf numFmtId="0" fontId="29" fillId="20" borderId="4" applyNumberFormat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6" fillId="0" borderId="9" applyNumberFormat="0" applyFill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0" borderId="1" xfId="0" applyBorder="1">
      <alignment vertical="center"/>
    </xf>
    <xf numFmtId="0" fontId="2" fillId="4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7" fillId="2" borderId="1" xfId="0" applyFont="1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left" vertical="center" wrapText="1"/>
    </xf>
    <xf numFmtId="0" fontId="0" fillId="2" borderId="1" xfId="0" applyFill="1" applyBorder="1">
      <alignment vertical="center"/>
    </xf>
    <xf numFmtId="0" fontId="9" fillId="4" borderId="1" xfId="0" applyFont="1" applyFill="1" applyBorder="1">
      <alignment vertical="center"/>
    </xf>
    <xf numFmtId="0" fontId="10" fillId="5" borderId="1" xfId="0" applyFont="1" applyFill="1" applyBorder="1" applyAlignment="1">
      <alignment horizontal="left" vertical="center"/>
    </xf>
    <xf numFmtId="0" fontId="0" fillId="5" borderId="1" xfId="0" applyFill="1" applyBorder="1">
      <alignment vertical="center"/>
    </xf>
    <xf numFmtId="0" fontId="11" fillId="0" borderId="0" xfId="0" applyFont="1">
      <alignment vertical="center"/>
    </xf>
    <xf numFmtId="0" fontId="0" fillId="3" borderId="0" xfId="0" applyFill="1">
      <alignment vertical="center"/>
    </xf>
    <xf numFmtId="0" fontId="9" fillId="0" borderId="0" xfId="0" applyFont="1">
      <alignment vertical="center"/>
    </xf>
    <xf numFmtId="0" fontId="12" fillId="0" borderId="0" xfId="0" applyFont="1">
      <alignment vertical="center"/>
    </xf>
    <xf numFmtId="0" fontId="13" fillId="6" borderId="0" xfId="0" applyFont="1" applyFill="1">
      <alignment vertical="center"/>
    </xf>
    <xf numFmtId="0" fontId="14" fillId="0" borderId="1" xfId="0" applyFont="1" applyBorder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vertical="center" wrapText="1"/>
    </xf>
    <xf numFmtId="0" fontId="3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s://codepen.io/afc163/pen/JJVXzG?editors=001" TargetMode="External"/><Relationship Id="rId8" Type="http://schemas.openxmlformats.org/officeDocument/2006/relationships/hyperlink" Target="https://github.com/react-component/form" TargetMode="External"/><Relationship Id="rId7" Type="http://schemas.openxmlformats.org/officeDocument/2006/relationships/hyperlink" Target="https://github.com/react-component/form/pull/48" TargetMode="External"/><Relationship Id="rId6" Type="http://schemas.openxmlformats.org/officeDocument/2006/relationships/hyperlink" Target="https://github.com/yiminghe/dom-scroll-into-view" TargetMode="External"/><Relationship Id="rId5" Type="http://schemas.openxmlformats.org/officeDocument/2006/relationships/hyperlink" Target="https://github.com/ant-design/ant-design/issues/2985" TargetMode="External"/><Relationship Id="rId4" Type="http://schemas.openxmlformats.org/officeDocument/2006/relationships/hyperlink" Target="https://github.com/react-component/form/blob/3b9959b57ab30b41d8890ff30c79a7e7c383cad3/examples/server-validate.js" TargetMode="External"/><Relationship Id="rId3" Type="http://schemas.openxmlformats.org/officeDocument/2006/relationships/hyperlink" Target="https://ant.design/components/grid/" TargetMode="External"/><Relationship Id="rId2" Type="http://schemas.openxmlformats.org/officeDocument/2006/relationships/hyperlink" Target="https://github.com/yiminghe/async-validator/blob/master/src/messages.js" TargetMode="External"/><Relationship Id="rId11" Type="http://schemas.openxmlformats.org/officeDocument/2006/relationships/hyperlink" Target="https://github.com/ant-design/ant-design/issues/5155" TargetMode="External"/><Relationship Id="rId10" Type="http://schemas.openxmlformats.org/officeDocument/2006/relationships/hyperlink" Target="https://github.com/yiminghe/async-validator" TargetMode="External"/><Relationship Id="rId1" Type="http://schemas.openxmlformats.org/officeDocument/2006/relationships/hyperlink" Target="https://ant.design/components/form-cn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ant-design/ant-design/issues/5155" TargetMode="External"/><Relationship Id="rId1" Type="http://schemas.openxmlformats.org/officeDocument/2006/relationships/hyperlink" Target="https://github.com/yiminghe/async-validator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ant.design/components/grid/" TargetMode="External"/><Relationship Id="rId2" Type="http://schemas.openxmlformats.org/officeDocument/2006/relationships/hyperlink" Target="https://github.com/ant-design/ant-design/issues/5155" TargetMode="External"/><Relationship Id="rId1" Type="http://schemas.openxmlformats.org/officeDocument/2006/relationships/hyperlink" Target="https://github.com/yiminghe/async-validato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1"/>
  <sheetViews>
    <sheetView topLeftCell="E28" workbookViewId="0">
      <selection activeCell="F30" sqref="F30"/>
    </sheetView>
  </sheetViews>
  <sheetFormatPr defaultColWidth="9" defaultRowHeight="24" customHeight="1"/>
  <cols>
    <col min="2" max="2" width="20.625" customWidth="1"/>
    <col min="3" max="3" width="38.75" customWidth="1"/>
    <col min="4" max="4" width="77.125" customWidth="1"/>
    <col min="5" max="5" width="33.5" customWidth="1"/>
    <col min="6" max="6" width="37.25" customWidth="1"/>
  </cols>
  <sheetData>
    <row r="1" customHeight="1" spans="1:9">
      <c r="A1" s="3" t="s">
        <v>0</v>
      </c>
      <c r="B1" s="3"/>
      <c r="C1" s="3"/>
      <c r="D1" s="3"/>
      <c r="E1" s="3"/>
      <c r="F1" s="3"/>
      <c r="G1" s="3"/>
      <c r="H1" s="3"/>
      <c r="I1" s="3"/>
    </row>
    <row r="2" customHeight="1" spans="1:9">
      <c r="A2" s="3" t="s">
        <v>1</v>
      </c>
      <c r="B2" s="3"/>
      <c r="C2" s="3"/>
      <c r="D2" s="3"/>
      <c r="E2" s="3"/>
      <c r="F2" s="3"/>
      <c r="G2" s="3"/>
      <c r="H2" s="3"/>
      <c r="I2" s="3"/>
    </row>
    <row r="3" customHeight="1" spans="1:9">
      <c r="A3" s="3"/>
      <c r="B3" s="20" t="s">
        <v>2</v>
      </c>
      <c r="C3" s="3"/>
      <c r="D3" s="3"/>
      <c r="E3" s="3"/>
      <c r="F3" s="3"/>
      <c r="G3" s="3"/>
      <c r="H3" s="3"/>
      <c r="I3" s="3"/>
    </row>
    <row r="4" customHeight="1" spans="1:9">
      <c r="A4" s="3"/>
      <c r="B4" s="3"/>
      <c r="C4" s="21" t="s">
        <v>3</v>
      </c>
      <c r="D4" s="5" t="s">
        <v>4</v>
      </c>
      <c r="E4" s="6" t="s">
        <v>5</v>
      </c>
      <c r="F4" s="6" t="b">
        <v>0</v>
      </c>
      <c r="G4" s="3"/>
      <c r="H4" s="3"/>
      <c r="I4" s="3"/>
    </row>
    <row r="5" customHeight="1" spans="1:9">
      <c r="A5" s="3"/>
      <c r="B5" s="3"/>
      <c r="C5" s="21" t="s">
        <v>6</v>
      </c>
      <c r="D5" s="5" t="s">
        <v>7</v>
      </c>
      <c r="E5" s="6" t="s">
        <v>8</v>
      </c>
      <c r="F5" s="6" t="s">
        <v>9</v>
      </c>
      <c r="G5" s="3"/>
      <c r="H5" s="3"/>
      <c r="I5" s="3"/>
    </row>
    <row r="6" customHeight="1" spans="1:9">
      <c r="A6" s="3"/>
      <c r="B6" s="3"/>
      <c r="C6" s="21" t="s">
        <v>10</v>
      </c>
      <c r="D6" s="5" t="s">
        <v>11</v>
      </c>
      <c r="E6" s="6" t="s">
        <v>12</v>
      </c>
      <c r="F6" s="11"/>
      <c r="G6" s="3"/>
      <c r="H6" s="3"/>
      <c r="I6" s="3"/>
    </row>
    <row r="7" customHeight="1" spans="1:9">
      <c r="A7" s="3"/>
      <c r="B7" s="22" t="s">
        <v>13</v>
      </c>
      <c r="C7" s="3"/>
      <c r="D7" s="3"/>
      <c r="E7" s="3"/>
      <c r="F7" s="3"/>
      <c r="G7" s="3"/>
      <c r="H7" s="3"/>
      <c r="I7" s="3"/>
    </row>
    <row r="8" ht="29" customHeight="1" spans="1:9">
      <c r="A8" s="3"/>
      <c r="B8" s="3"/>
      <c r="C8" s="23" t="s">
        <v>14</v>
      </c>
      <c r="D8" s="5" t="s">
        <v>15</v>
      </c>
      <c r="E8" s="6" t="s">
        <v>16</v>
      </c>
      <c r="F8" s="3"/>
      <c r="G8" s="3"/>
      <c r="H8" s="3"/>
      <c r="I8" s="3"/>
    </row>
    <row r="9" ht="39" customHeight="1" spans="1:9">
      <c r="A9" s="3"/>
      <c r="B9" s="3"/>
      <c r="C9" s="23" t="s">
        <v>17</v>
      </c>
      <c r="D9" s="5" t="s">
        <v>18</v>
      </c>
      <c r="E9" s="6" t="s">
        <v>19</v>
      </c>
      <c r="F9" s="3"/>
      <c r="G9" s="3"/>
      <c r="H9" s="3"/>
      <c r="I9" s="3"/>
    </row>
    <row r="10" customHeight="1" spans="1:9">
      <c r="A10" s="3"/>
      <c r="B10" s="3"/>
      <c r="C10" s="23" t="s">
        <v>20</v>
      </c>
      <c r="D10" s="5" t="s">
        <v>21</v>
      </c>
      <c r="E10" s="6" t="s">
        <v>22</v>
      </c>
      <c r="F10" s="3"/>
      <c r="G10" s="3"/>
      <c r="H10" s="3"/>
      <c r="I10" s="3"/>
    </row>
    <row r="11" customHeight="1" spans="1:9">
      <c r="A11" s="3"/>
      <c r="B11" s="3"/>
      <c r="C11" s="23" t="s">
        <v>23</v>
      </c>
      <c r="D11" s="5" t="s">
        <v>24</v>
      </c>
      <c r="E11" s="6" t="s">
        <v>25</v>
      </c>
      <c r="F11" s="3"/>
      <c r="G11" s="3"/>
      <c r="H11" s="3"/>
      <c r="I11" s="3"/>
    </row>
    <row r="12" customHeight="1" spans="1:9">
      <c r="A12" s="3"/>
      <c r="B12" s="24" t="s">
        <v>26</v>
      </c>
      <c r="C12" s="25" t="s">
        <v>27</v>
      </c>
      <c r="D12" s="3"/>
      <c r="E12" s="3"/>
      <c r="F12" s="3"/>
      <c r="G12" s="3"/>
      <c r="H12" s="3"/>
      <c r="I12" s="3"/>
    </row>
    <row r="13" customHeight="1" spans="1:9">
      <c r="A13" s="3"/>
      <c r="B13" s="24" t="s">
        <v>28</v>
      </c>
      <c r="C13" s="3"/>
      <c r="D13" s="3"/>
      <c r="E13" s="3"/>
      <c r="F13" s="3"/>
      <c r="G13" s="3"/>
      <c r="H13" s="3"/>
      <c r="I13" s="3"/>
    </row>
    <row r="14" customHeight="1" spans="1:9">
      <c r="A14" s="3"/>
      <c r="B14" s="26" t="s">
        <v>28</v>
      </c>
      <c r="C14" s="4" t="s">
        <v>29</v>
      </c>
      <c r="D14" s="5" t="s">
        <v>30</v>
      </c>
      <c r="E14" s="6" t="s">
        <v>31</v>
      </c>
      <c r="F14" s="6" t="b">
        <v>1</v>
      </c>
      <c r="G14" s="3"/>
      <c r="H14" s="3"/>
      <c r="I14" s="3"/>
    </row>
    <row r="15" customHeight="1" spans="1:9">
      <c r="A15" s="3"/>
      <c r="B15" s="26"/>
      <c r="C15" s="4" t="s">
        <v>32</v>
      </c>
      <c r="D15" s="5" t="s">
        <v>33</v>
      </c>
      <c r="E15" s="6" t="s">
        <v>34</v>
      </c>
      <c r="F15" s="6"/>
      <c r="G15" s="3"/>
      <c r="H15" s="3"/>
      <c r="I15" s="3"/>
    </row>
    <row r="16" customHeight="1" spans="1:9">
      <c r="A16" s="3"/>
      <c r="B16" s="26"/>
      <c r="C16" s="23" t="s">
        <v>35</v>
      </c>
      <c r="D16" s="5" t="s">
        <v>36</v>
      </c>
      <c r="E16" s="6" t="s">
        <v>31</v>
      </c>
      <c r="F16" s="6" t="b">
        <v>0</v>
      </c>
      <c r="G16" s="3"/>
      <c r="H16" s="3"/>
      <c r="I16" s="3"/>
    </row>
    <row r="17" customHeight="1" spans="1:9">
      <c r="A17" s="3"/>
      <c r="B17" s="26"/>
      <c r="C17" s="27" t="s">
        <v>37</v>
      </c>
      <c r="D17" s="28" t="s">
        <v>38</v>
      </c>
      <c r="E17" s="6" t="s">
        <v>34</v>
      </c>
      <c r="F17" s="6"/>
      <c r="G17" s="3"/>
      <c r="H17" s="3"/>
      <c r="I17" s="3"/>
    </row>
    <row r="18" customHeight="1" spans="1:9">
      <c r="A18" s="3"/>
      <c r="B18" s="26"/>
      <c r="C18" s="4" t="s">
        <v>39</v>
      </c>
      <c r="D18" s="5" t="s">
        <v>40</v>
      </c>
      <c r="E18" s="6" t="s">
        <v>34</v>
      </c>
      <c r="F18" s="6"/>
      <c r="G18" s="3"/>
      <c r="H18" s="3"/>
      <c r="I18" s="3"/>
    </row>
    <row r="19" ht="41" customHeight="1" spans="1:9">
      <c r="A19" s="3"/>
      <c r="B19" s="26"/>
      <c r="C19" s="4" t="s">
        <v>41</v>
      </c>
      <c r="D19" s="5" t="s">
        <v>42</v>
      </c>
      <c r="E19" s="9" t="s">
        <v>43</v>
      </c>
      <c r="F19" s="6"/>
      <c r="G19" s="3"/>
      <c r="H19" s="3"/>
      <c r="I19" s="3"/>
    </row>
    <row r="20" customHeight="1" spans="1:9">
      <c r="A20" s="3"/>
      <c r="B20" s="26"/>
      <c r="C20" s="23" t="s">
        <v>44</v>
      </c>
      <c r="D20" s="28" t="s">
        <v>45</v>
      </c>
      <c r="E20" s="6" t="s">
        <v>31</v>
      </c>
      <c r="F20" s="6" t="b">
        <v>0</v>
      </c>
      <c r="G20" s="3"/>
      <c r="H20" s="3"/>
      <c r="I20" s="3"/>
    </row>
    <row r="21" customHeight="1" spans="1:9">
      <c r="A21" s="3"/>
      <c r="B21" s="26"/>
      <c r="C21" s="23" t="s">
        <v>46</v>
      </c>
      <c r="D21" s="28" t="s">
        <v>47</v>
      </c>
      <c r="E21" s="6" t="s">
        <v>48</v>
      </c>
      <c r="F21" s="6"/>
      <c r="G21" s="3"/>
      <c r="H21" s="3"/>
      <c r="I21" s="3"/>
    </row>
    <row r="22" customHeight="1" spans="1:9">
      <c r="A22" s="3"/>
      <c r="B22" s="26"/>
      <c r="C22" s="4" t="s">
        <v>49</v>
      </c>
      <c r="D22" s="10" t="s">
        <v>50</v>
      </c>
      <c r="E22" s="9" t="s">
        <v>43</v>
      </c>
      <c r="F22" s="11"/>
      <c r="G22" s="3"/>
      <c r="H22" s="3"/>
      <c r="I22" s="3"/>
    </row>
    <row r="23" customHeight="1" spans="1:9">
      <c r="A23" s="3"/>
      <c r="B23" s="3"/>
      <c r="C23" s="12" t="s">
        <v>51</v>
      </c>
      <c r="D23" s="3" t="s">
        <v>52</v>
      </c>
      <c r="E23" s="3"/>
      <c r="F23" s="3"/>
      <c r="G23" s="3"/>
      <c r="H23" s="3"/>
      <c r="I23" s="3"/>
    </row>
    <row r="24" customFormat="1" customHeight="1" spans="1:9">
      <c r="A24" s="3"/>
      <c r="B24" s="3"/>
      <c r="C24" s="4" t="s">
        <v>53</v>
      </c>
      <c r="D24" s="3" t="s">
        <v>54</v>
      </c>
      <c r="E24" s="3"/>
      <c r="F24" s="3"/>
      <c r="G24" s="3"/>
      <c r="H24" s="3"/>
      <c r="I24" s="3"/>
    </row>
    <row r="25" customFormat="1" ht="38" customHeight="1" spans="1:9">
      <c r="A25" s="3"/>
      <c r="B25" s="3"/>
      <c r="C25" s="26" t="s">
        <v>53</v>
      </c>
      <c r="D25" s="21" t="s">
        <v>53</v>
      </c>
      <c r="E25" s="10" t="s">
        <v>55</v>
      </c>
      <c r="F25" s="6"/>
      <c r="G25" s="3"/>
      <c r="H25" s="3"/>
      <c r="I25" s="3"/>
    </row>
    <row r="26" customFormat="1" customHeight="1" spans="1:9">
      <c r="A26" s="3"/>
      <c r="B26" s="3"/>
      <c r="C26" s="26"/>
      <c r="D26" s="29" t="s">
        <v>53</v>
      </c>
      <c r="E26" s="4" t="s">
        <v>56</v>
      </c>
      <c r="F26" s="5" t="s">
        <v>57</v>
      </c>
      <c r="G26" s="6" t="s">
        <v>48</v>
      </c>
      <c r="H26" s="6"/>
      <c r="I26" s="3"/>
    </row>
    <row r="27" customFormat="1" customHeight="1" spans="1:9">
      <c r="A27" s="3"/>
      <c r="B27" s="3"/>
      <c r="C27" s="26"/>
      <c r="D27" s="29"/>
      <c r="E27" s="23" t="s">
        <v>58</v>
      </c>
      <c r="F27" s="5" t="s">
        <v>59</v>
      </c>
      <c r="G27" s="6" t="s">
        <v>60</v>
      </c>
      <c r="H27" s="9" t="s">
        <v>61</v>
      </c>
      <c r="I27" s="3"/>
    </row>
    <row r="28" customFormat="1" customHeight="1" spans="1:9">
      <c r="A28" s="3"/>
      <c r="B28" s="3"/>
      <c r="C28" s="26"/>
      <c r="D28" s="29"/>
      <c r="E28" s="23" t="s">
        <v>62</v>
      </c>
      <c r="F28" s="5" t="s">
        <v>63</v>
      </c>
      <c r="G28" s="6"/>
      <c r="H28" s="6"/>
      <c r="I28" s="3"/>
    </row>
    <row r="29" customFormat="1" customHeight="1" spans="1:9">
      <c r="A29" s="3"/>
      <c r="B29" s="3"/>
      <c r="C29" s="26"/>
      <c r="D29" s="29"/>
      <c r="E29" s="23" t="s">
        <v>64</v>
      </c>
      <c r="F29" s="5" t="s">
        <v>65</v>
      </c>
      <c r="G29" s="6" t="s">
        <v>66</v>
      </c>
      <c r="H29" s="6" t="s">
        <v>67</v>
      </c>
      <c r="I29" s="3"/>
    </row>
    <row r="30" customFormat="1" customHeight="1" spans="1:9">
      <c r="A30" s="3"/>
      <c r="B30" s="3"/>
      <c r="C30" s="26"/>
      <c r="D30" s="29"/>
      <c r="E30" s="23" t="s">
        <v>68</v>
      </c>
      <c r="F30" s="10" t="s">
        <v>69</v>
      </c>
      <c r="G30" s="6" t="s">
        <v>70</v>
      </c>
      <c r="H30" s="6"/>
      <c r="I30" s="3"/>
    </row>
    <row r="31" customFormat="1" customHeight="1" spans="1:9">
      <c r="A31" s="3"/>
      <c r="B31" s="3"/>
      <c r="C31" s="26"/>
      <c r="D31" s="29"/>
      <c r="E31" s="30" t="s">
        <v>68</v>
      </c>
      <c r="F31" s="4" t="s">
        <v>71</v>
      </c>
      <c r="G31" s="5" t="s">
        <v>72</v>
      </c>
      <c r="H31" s="6" t="s">
        <v>48</v>
      </c>
      <c r="I31" s="6" t="s">
        <v>67</v>
      </c>
    </row>
    <row r="32" customFormat="1" customHeight="1" spans="1:9">
      <c r="A32" s="3"/>
      <c r="B32" s="3"/>
      <c r="C32" s="26"/>
      <c r="D32" s="29"/>
      <c r="E32" s="30"/>
      <c r="F32" s="4" t="s">
        <v>73</v>
      </c>
      <c r="G32" s="5" t="s">
        <v>74</v>
      </c>
      <c r="H32" s="6" t="s">
        <v>75</v>
      </c>
      <c r="I32" s="6" t="s">
        <v>67</v>
      </c>
    </row>
    <row r="33" customFormat="1" customHeight="1" spans="1:9">
      <c r="A33" s="3"/>
      <c r="B33" s="3"/>
      <c r="C33" s="26"/>
      <c r="D33" s="29"/>
      <c r="E33" s="30"/>
      <c r="F33" s="4" t="s">
        <v>76</v>
      </c>
      <c r="G33" s="5" t="s">
        <v>77</v>
      </c>
      <c r="H33" s="6" t="s">
        <v>75</v>
      </c>
      <c r="I33" s="6" t="s">
        <v>67</v>
      </c>
    </row>
    <row r="34" customFormat="1" customHeight="1" spans="1:9">
      <c r="A34" s="3"/>
      <c r="B34" s="3"/>
      <c r="C34" s="26"/>
      <c r="D34" s="29"/>
      <c r="E34" s="30"/>
      <c r="F34" s="4" t="s">
        <v>78</v>
      </c>
      <c r="G34" s="7" t="s">
        <v>79</v>
      </c>
      <c r="H34" s="6" t="s">
        <v>48</v>
      </c>
      <c r="I34" s="6" t="s">
        <v>67</v>
      </c>
    </row>
    <row r="35" customFormat="1" customHeight="1" spans="1:9">
      <c r="A35" s="3"/>
      <c r="B35" s="3"/>
      <c r="C35" s="26"/>
      <c r="D35" s="29"/>
      <c r="E35" s="30"/>
      <c r="F35" s="4" t="s">
        <v>80</v>
      </c>
      <c r="G35" s="5" t="s">
        <v>81</v>
      </c>
      <c r="H35" s="6" t="s">
        <v>75</v>
      </c>
      <c r="I35" s="6" t="s">
        <v>67</v>
      </c>
    </row>
    <row r="36" customFormat="1" customHeight="1" spans="1:9">
      <c r="A36" s="3"/>
      <c r="B36" s="3"/>
      <c r="C36" s="26"/>
      <c r="D36" s="29"/>
      <c r="E36" s="30"/>
      <c r="F36" s="4" t="s">
        <v>82</v>
      </c>
      <c r="G36" s="5" t="s">
        <v>83</v>
      </c>
      <c r="H36" s="6" t="s">
        <v>84</v>
      </c>
      <c r="I36" s="6" t="s">
        <v>67</v>
      </c>
    </row>
    <row r="37" customFormat="1" customHeight="1" spans="1:9">
      <c r="A37" s="3"/>
      <c r="B37" s="3"/>
      <c r="C37" s="26"/>
      <c r="D37" s="29"/>
      <c r="E37" s="30"/>
      <c r="F37" s="4" t="s">
        <v>44</v>
      </c>
      <c r="G37" s="5" t="s">
        <v>85</v>
      </c>
      <c r="H37" s="6" t="s">
        <v>31</v>
      </c>
      <c r="I37" s="8" t="b">
        <v>0</v>
      </c>
    </row>
    <row r="38" customFormat="1" customHeight="1" spans="1:9">
      <c r="A38" s="3"/>
      <c r="B38" s="3"/>
      <c r="C38" s="26"/>
      <c r="D38" s="29"/>
      <c r="E38" s="30"/>
      <c r="F38" s="4" t="s">
        <v>86</v>
      </c>
      <c r="G38" s="7" t="s">
        <v>87</v>
      </c>
      <c r="H38" s="6" t="s">
        <v>88</v>
      </c>
      <c r="I38" s="6" t="s">
        <v>67</v>
      </c>
    </row>
    <row r="39" customFormat="1" customHeight="1" spans="1:9">
      <c r="A39" s="3"/>
      <c r="B39" s="3"/>
      <c r="C39" s="26"/>
      <c r="D39" s="29"/>
      <c r="E39" s="30"/>
      <c r="F39" s="4" t="s">
        <v>51</v>
      </c>
      <c r="G39" s="5" t="s">
        <v>89</v>
      </c>
      <c r="H39" s="6" t="s">
        <v>48</v>
      </c>
      <c r="I39" s="6" t="s">
        <v>90</v>
      </c>
    </row>
    <row r="40" customFormat="1" customHeight="1" spans="1:9">
      <c r="A40" s="3"/>
      <c r="B40" s="3"/>
      <c r="C40" s="26"/>
      <c r="D40" s="29"/>
      <c r="E40" s="30"/>
      <c r="F40" s="4" t="s">
        <v>91</v>
      </c>
      <c r="G40" s="5" t="s">
        <v>92</v>
      </c>
      <c r="H40" s="6" t="s">
        <v>93</v>
      </c>
      <c r="I40" s="6" t="s">
        <v>67</v>
      </c>
    </row>
    <row r="41" customFormat="1" customHeight="1" spans="1:9">
      <c r="A41" s="3"/>
      <c r="B41" s="3"/>
      <c r="C41" s="26"/>
      <c r="D41" s="29"/>
      <c r="E41" s="30"/>
      <c r="F41" s="4" t="s">
        <v>94</v>
      </c>
      <c r="G41" s="5" t="s">
        <v>95</v>
      </c>
      <c r="H41" s="6" t="s">
        <v>31</v>
      </c>
      <c r="I41" s="8" t="b">
        <v>0</v>
      </c>
    </row>
    <row r="42" customFormat="1" customHeight="1" spans="1:9">
      <c r="A42" s="3"/>
      <c r="B42" s="3"/>
      <c r="C42" s="26"/>
      <c r="D42" s="29"/>
      <c r="E42" s="23" t="s">
        <v>96</v>
      </c>
      <c r="F42" s="5" t="s">
        <v>97</v>
      </c>
      <c r="G42" s="6" t="s">
        <v>48</v>
      </c>
      <c r="H42" s="6" t="s">
        <v>98</v>
      </c>
      <c r="I42" s="3"/>
    </row>
    <row r="43" customFormat="1" customHeight="1" spans="1:9">
      <c r="A43" s="3"/>
      <c r="B43" s="3"/>
      <c r="C43" s="26"/>
      <c r="D43" s="29"/>
      <c r="E43" s="23" t="s">
        <v>99</v>
      </c>
      <c r="F43" s="5" t="s">
        <v>100</v>
      </c>
      <c r="G43" s="6" t="s">
        <v>31</v>
      </c>
      <c r="H43" s="6" t="b">
        <v>0</v>
      </c>
      <c r="I43" s="3"/>
    </row>
    <row r="44" customFormat="1" customHeight="1" spans="1:9">
      <c r="A44" s="3"/>
      <c r="B44" s="3"/>
      <c r="C44" s="26"/>
      <c r="D44" s="29"/>
      <c r="E44" s="23" t="s">
        <v>101</v>
      </c>
      <c r="F44" s="5" t="s">
        <v>102</v>
      </c>
      <c r="G44" s="6" t="s">
        <v>103</v>
      </c>
      <c r="H44" s="6" t="s">
        <v>98</v>
      </c>
      <c r="I44" s="3"/>
    </row>
    <row r="45" customFormat="1" customHeight="1" spans="1:9">
      <c r="A45" s="3"/>
      <c r="B45" s="3"/>
      <c r="C45" s="26"/>
      <c r="D45" s="29"/>
      <c r="E45" s="23" t="s">
        <v>104</v>
      </c>
      <c r="F45" s="5" t="s">
        <v>105</v>
      </c>
      <c r="G45" s="6" t="s">
        <v>48</v>
      </c>
      <c r="H45" s="6" t="s">
        <v>106</v>
      </c>
      <c r="I45" s="3"/>
    </row>
    <row r="46" customFormat="1" customHeight="1" spans="1:9">
      <c r="A46" s="3"/>
      <c r="B46" s="3"/>
      <c r="C46" s="26"/>
      <c r="D46" s="23" t="s">
        <v>107</v>
      </c>
      <c r="E46" s="5" t="s">
        <v>108</v>
      </c>
      <c r="F46" s="6" t="s">
        <v>109</v>
      </c>
      <c r="G46" s="3"/>
      <c r="H46" s="3"/>
      <c r="I46" s="3"/>
    </row>
    <row r="47" customFormat="1" customHeight="1" spans="1:9">
      <c r="A47" s="3"/>
      <c r="B47" s="3"/>
      <c r="C47" s="26"/>
      <c r="D47" s="23" t="s">
        <v>110</v>
      </c>
      <c r="E47" s="5" t="s">
        <v>111</v>
      </c>
      <c r="F47" s="6" t="s">
        <v>112</v>
      </c>
      <c r="G47" s="3"/>
      <c r="H47" s="3"/>
      <c r="I47" s="3"/>
    </row>
    <row r="48" customFormat="1" customHeight="1" spans="1:9">
      <c r="A48" s="3"/>
      <c r="B48" s="3"/>
      <c r="C48" s="26"/>
      <c r="D48" s="23" t="s">
        <v>113</v>
      </c>
      <c r="E48" s="5" t="s">
        <v>114</v>
      </c>
      <c r="F48" s="6" t="s">
        <v>115</v>
      </c>
      <c r="G48" s="3"/>
      <c r="H48" s="3"/>
      <c r="I48" s="3"/>
    </row>
    <row r="49" customFormat="1" customHeight="1" spans="1:9">
      <c r="A49" s="3"/>
      <c r="B49" s="3"/>
      <c r="C49" s="26"/>
      <c r="D49" s="23" t="s">
        <v>116</v>
      </c>
      <c r="E49" s="5" t="s">
        <v>117</v>
      </c>
      <c r="F49" s="6" t="s">
        <v>118</v>
      </c>
      <c r="G49" s="3"/>
      <c r="H49" s="3"/>
      <c r="I49" s="3"/>
    </row>
    <row r="50" customFormat="1" customHeight="1" spans="1:9">
      <c r="A50" s="3"/>
      <c r="B50" s="3"/>
      <c r="C50" s="26"/>
      <c r="D50" s="23" t="s">
        <v>119</v>
      </c>
      <c r="E50" s="5" t="s">
        <v>120</v>
      </c>
      <c r="F50" s="6" t="s">
        <v>121</v>
      </c>
      <c r="G50" s="3"/>
      <c r="H50" s="3"/>
      <c r="I50" s="3"/>
    </row>
    <row r="51" customFormat="1" customHeight="1" spans="1:9">
      <c r="A51" s="3"/>
      <c r="B51" s="3"/>
      <c r="C51" s="26"/>
      <c r="D51" s="23" t="s">
        <v>122</v>
      </c>
      <c r="E51" s="5" t="s">
        <v>123</v>
      </c>
      <c r="F51" s="6" t="s">
        <v>124</v>
      </c>
      <c r="G51" s="3"/>
      <c r="H51" s="3"/>
      <c r="I51" s="3"/>
    </row>
    <row r="52" customFormat="1" customHeight="1" spans="1:9">
      <c r="A52" s="3"/>
      <c r="B52" s="3"/>
      <c r="C52" s="26"/>
      <c r="D52" s="23" t="s">
        <v>125</v>
      </c>
      <c r="E52" s="5" t="s">
        <v>126</v>
      </c>
      <c r="F52" s="6" t="s">
        <v>109</v>
      </c>
      <c r="G52" s="3"/>
      <c r="H52" s="3"/>
      <c r="I52" s="3"/>
    </row>
    <row r="53" customFormat="1" customHeight="1" spans="1:9">
      <c r="A53" s="3"/>
      <c r="B53" s="3"/>
      <c r="C53" s="26"/>
      <c r="D53" s="23" t="s">
        <v>127</v>
      </c>
      <c r="E53" s="5" t="s">
        <v>128</v>
      </c>
      <c r="F53" s="6" t="s">
        <v>112</v>
      </c>
      <c r="G53" s="3"/>
      <c r="H53" s="3"/>
      <c r="I53" s="3"/>
    </row>
    <row r="54" customFormat="1" customHeight="1" spans="1:9">
      <c r="A54" s="3"/>
      <c r="B54" s="3"/>
      <c r="C54" s="26"/>
      <c r="D54" s="23" t="s">
        <v>129</v>
      </c>
      <c r="E54" s="5" t="s">
        <v>130</v>
      </c>
      <c r="F54" s="6" t="s">
        <v>131</v>
      </c>
      <c r="G54" s="3"/>
      <c r="H54" s="3"/>
      <c r="I54" s="3"/>
    </row>
    <row r="55" customFormat="1" customHeight="1" spans="1:9">
      <c r="A55" s="3"/>
      <c r="B55" s="3"/>
      <c r="C55" s="26"/>
      <c r="D55" s="23" t="s">
        <v>132</v>
      </c>
      <c r="E55" s="5" t="s">
        <v>133</v>
      </c>
      <c r="F55" s="6" t="s">
        <v>134</v>
      </c>
      <c r="G55" s="3"/>
      <c r="H55" s="3"/>
      <c r="I55" s="3"/>
    </row>
    <row r="56" customFormat="1" customHeight="1" spans="1:9">
      <c r="A56" s="3"/>
      <c r="B56" s="3"/>
      <c r="C56" s="26"/>
      <c r="D56" s="23" t="s">
        <v>135</v>
      </c>
      <c r="E56" s="5" t="s">
        <v>136</v>
      </c>
      <c r="F56" s="6" t="s">
        <v>137</v>
      </c>
      <c r="G56" s="3"/>
      <c r="H56" s="3"/>
      <c r="I56" s="3"/>
    </row>
    <row r="57" customFormat="1" customHeight="1" spans="1:9">
      <c r="A57" s="3"/>
      <c r="B57" s="3"/>
      <c r="C57" s="26"/>
      <c r="D57" s="23" t="s">
        <v>138</v>
      </c>
      <c r="E57" s="5" t="s">
        <v>139</v>
      </c>
      <c r="F57" s="6" t="s">
        <v>140</v>
      </c>
      <c r="G57" s="3"/>
      <c r="H57" s="3"/>
      <c r="I57" s="3"/>
    </row>
    <row r="58" customFormat="1" customHeight="1" spans="1:9">
      <c r="A58" s="3"/>
      <c r="B58" s="3"/>
      <c r="C58" s="3"/>
      <c r="D58" s="31" t="s">
        <v>141</v>
      </c>
      <c r="E58" s="23" t="s">
        <v>142</v>
      </c>
      <c r="F58" s="5" t="s">
        <v>143</v>
      </c>
      <c r="G58" s="6" t="s">
        <v>31</v>
      </c>
      <c r="H58" s="6" t="b">
        <v>0</v>
      </c>
      <c r="I58" s="3"/>
    </row>
    <row r="59" customFormat="1" customHeight="1" spans="1:9">
      <c r="A59" s="3"/>
      <c r="B59" s="3"/>
      <c r="C59" s="3"/>
      <c r="D59" s="26"/>
      <c r="E59" s="23" t="s">
        <v>144</v>
      </c>
      <c r="F59" s="5" t="s">
        <v>145</v>
      </c>
      <c r="G59" s="6" t="s">
        <v>146</v>
      </c>
      <c r="H59" s="6" t="s">
        <v>147</v>
      </c>
      <c r="I59" s="3"/>
    </row>
    <row r="60" customFormat="1" ht="36" customHeight="1" spans="1:9">
      <c r="A60" s="3"/>
      <c r="B60" s="3"/>
      <c r="C60" s="3"/>
      <c r="D60" s="26"/>
      <c r="E60" s="23" t="s">
        <v>148</v>
      </c>
      <c r="F60" s="10" t="s">
        <v>149</v>
      </c>
      <c r="G60" s="6" t="s">
        <v>31</v>
      </c>
      <c r="H60" s="6" t="b">
        <v>0</v>
      </c>
      <c r="I60" s="3"/>
    </row>
    <row r="61" customFormat="1" ht="36" customHeight="1" spans="1:9">
      <c r="A61" s="3"/>
      <c r="B61" s="3"/>
      <c r="C61" s="3"/>
      <c r="D61" s="26"/>
      <c r="E61" s="23" t="s">
        <v>150</v>
      </c>
      <c r="F61" s="5" t="s">
        <v>151</v>
      </c>
      <c r="G61" s="6" t="s">
        <v>152</v>
      </c>
      <c r="H61" s="6" t="s">
        <v>153</v>
      </c>
      <c r="I61" s="3"/>
    </row>
  </sheetData>
  <mergeCells count="5">
    <mergeCell ref="B14:B22"/>
    <mergeCell ref="C25:C57"/>
    <mergeCell ref="D26:D45"/>
    <mergeCell ref="D58:D61"/>
    <mergeCell ref="E31:E41"/>
  </mergeCells>
  <hyperlinks>
    <hyperlink ref="D8" r:id="rId1" display="把父组件的属性映射到表单项上（如：把 Redux store 中的值读出），需要对返回值中的表单域数据用 Form.createFormField 标记"/>
    <hyperlink ref="D9" r:id="rId2" display="默认校验信息，可用于把默认错误信息改为中文等，格式与 newMessages 返回值一致" tooltip="https://github.com/yiminghe/async-validator/blob/master/src/messages.js"/>
    <hyperlink ref="E19" r:id="rId3" display="object"/>
    <hyperlink ref="E22" r:id="rId3" display="object"/>
    <hyperlink ref="E54" r:id="rId4" display="设置一组输入控件的值与 Error。 代码"/>
    <hyperlink ref="E55" r:id="rId5" display="设置一组输入控件的值（注意：不要在 componentWillReceiveProps 内使用，否则会导致死循环，更多）" tooltip="https://github.com/ant-design/ant-design/issues/2985"/>
    <hyperlink ref="F61" r:id="rId6" display="定义 validateFieldsAndScroll 的滚动行为，详细配置见 dom-scroll-into-view config"/>
    <hyperlink ref="F26" r:id="rId7" display="必填输入控件唯一标志。支持嵌套式的写法。" tooltip="https://github.com/react-component/form/pull/48"/>
    <hyperlink ref="H27" r:id="rId8" display="reference"/>
    <hyperlink ref="F29" r:id="rId9" display="转换默认的 value 给控件，一个选择全部的例子" tooltip="https://codepen.io/afc163/pen/JJVXzG?editors=001"/>
    <hyperlink ref="G39" r:id="rId10" display="内建校验类型，可选项"/>
    <hyperlink ref="G40" r:id="rId11" display="自定义校验（注意，callback 必须被调用）" tooltip="https://github.com/ant-design/ant-design/issues/5155"/>
  </hyperlinks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52"/>
  <sheetViews>
    <sheetView workbookViewId="0">
      <selection activeCell="D13" sqref="D13:D14"/>
    </sheetView>
  </sheetViews>
  <sheetFormatPr defaultColWidth="22" defaultRowHeight="15" customHeight="1"/>
  <cols>
    <col min="1" max="6" width="22" customWidth="1"/>
    <col min="7" max="7" width="27.875" customWidth="1"/>
    <col min="8" max="16384" width="22" customWidth="1"/>
  </cols>
  <sheetData>
    <row r="1" customHeight="1" spans="1:1">
      <c r="A1" t="s">
        <v>154</v>
      </c>
    </row>
    <row r="2" customHeight="1" spans="1:1">
      <c r="A2" t="s">
        <v>155</v>
      </c>
    </row>
    <row r="3" customHeight="1" spans="1:2">
      <c r="A3" t="s">
        <v>1</v>
      </c>
      <c r="B3" t="s">
        <v>156</v>
      </c>
    </row>
    <row r="4" customHeight="1" spans="2:3">
      <c r="B4" t="s">
        <v>2</v>
      </c>
      <c r="C4" t="s">
        <v>156</v>
      </c>
    </row>
    <row r="5" customHeight="1" spans="3:4">
      <c r="C5" t="s">
        <v>3</v>
      </c>
      <c r="D5" t="s">
        <v>157</v>
      </c>
    </row>
    <row r="6" customHeight="1" spans="3:4">
      <c r="C6" t="s">
        <v>6</v>
      </c>
      <c r="D6" t="s">
        <v>157</v>
      </c>
    </row>
    <row r="7" customHeight="1" spans="3:4">
      <c r="C7" t="s">
        <v>10</v>
      </c>
      <c r="D7" t="s">
        <v>157</v>
      </c>
    </row>
    <row r="8" customHeight="1" spans="2:2">
      <c r="B8" s="15" t="s">
        <v>158</v>
      </c>
    </row>
    <row r="9" customHeight="1" spans="3:4">
      <c r="C9" t="s">
        <v>159</v>
      </c>
      <c r="D9" t="s">
        <v>156</v>
      </c>
    </row>
    <row r="10" customHeight="1" spans="4:5">
      <c r="D10" t="s">
        <v>29</v>
      </c>
      <c r="E10" t="s">
        <v>157</v>
      </c>
    </row>
    <row r="11" customHeight="1" spans="4:5">
      <c r="D11" t="s">
        <v>32</v>
      </c>
      <c r="E11" t="s">
        <v>157</v>
      </c>
    </row>
    <row r="12" customHeight="1" spans="4:5">
      <c r="D12" t="s">
        <v>39</v>
      </c>
      <c r="E12" t="s">
        <v>157</v>
      </c>
    </row>
    <row r="13" customHeight="1" spans="4:5">
      <c r="D13" t="s">
        <v>41</v>
      </c>
      <c r="E13" t="s">
        <v>157</v>
      </c>
    </row>
    <row r="14" customHeight="1" spans="4:5">
      <c r="D14" s="16" t="s">
        <v>49</v>
      </c>
      <c r="E14" s="16" t="s">
        <v>157</v>
      </c>
    </row>
    <row r="15" customHeight="1" spans="4:5">
      <c r="D15" t="s">
        <v>44</v>
      </c>
      <c r="E15" t="s">
        <v>157</v>
      </c>
    </row>
    <row r="16" customHeight="1" spans="4:6">
      <c r="D16" s="17" t="s">
        <v>51</v>
      </c>
      <c r="E16" t="s">
        <v>157</v>
      </c>
      <c r="F16" t="s">
        <v>160</v>
      </c>
    </row>
    <row r="17" customHeight="1" spans="4:6">
      <c r="D17" s="17" t="s">
        <v>161</v>
      </c>
      <c r="E17" t="s">
        <v>157</v>
      </c>
      <c r="F17" t="s">
        <v>162</v>
      </c>
    </row>
    <row r="18" customHeight="1" spans="4:5">
      <c r="D18" s="17" t="s">
        <v>56</v>
      </c>
      <c r="E18" t="s">
        <v>157</v>
      </c>
    </row>
    <row r="19" customHeight="1" spans="4:5">
      <c r="D19" t="s">
        <v>53</v>
      </c>
      <c r="E19" t="s">
        <v>156</v>
      </c>
    </row>
    <row r="20" customHeight="1" spans="5:6">
      <c r="E20" t="s">
        <v>163</v>
      </c>
      <c r="F20" t="s">
        <v>156</v>
      </c>
    </row>
    <row r="21" customHeight="1" spans="6:9">
      <c r="F21" t="s">
        <v>71</v>
      </c>
      <c r="G21" t="s">
        <v>157</v>
      </c>
      <c r="H21" s="5" t="s">
        <v>72</v>
      </c>
      <c r="I21" s="6" t="s">
        <v>67</v>
      </c>
    </row>
    <row r="22" customHeight="1" spans="6:9">
      <c r="F22" t="s">
        <v>73</v>
      </c>
      <c r="G22" t="s">
        <v>157</v>
      </c>
      <c r="H22" s="5" t="s">
        <v>74</v>
      </c>
      <c r="I22" s="6" t="s">
        <v>67</v>
      </c>
    </row>
    <row r="23" customHeight="1" spans="6:9">
      <c r="F23" t="s">
        <v>76</v>
      </c>
      <c r="G23" t="s">
        <v>157</v>
      </c>
      <c r="H23" s="5" t="s">
        <v>77</v>
      </c>
      <c r="I23" s="6" t="s">
        <v>67</v>
      </c>
    </row>
    <row r="24" customHeight="1" spans="6:9">
      <c r="F24" t="s">
        <v>78</v>
      </c>
      <c r="G24" t="s">
        <v>157</v>
      </c>
      <c r="H24" s="7" t="s">
        <v>79</v>
      </c>
      <c r="I24" s="6" t="s">
        <v>67</v>
      </c>
    </row>
    <row r="25" customHeight="1" spans="6:9">
      <c r="F25" t="s">
        <v>80</v>
      </c>
      <c r="G25" t="s">
        <v>157</v>
      </c>
      <c r="H25" s="5" t="s">
        <v>81</v>
      </c>
      <c r="I25" s="6" t="s">
        <v>67</v>
      </c>
    </row>
    <row r="26" customHeight="1" spans="1:9">
      <c r="A26" t="s">
        <v>164</v>
      </c>
      <c r="B26" s="16" t="s">
        <v>165</v>
      </c>
      <c r="C26" t="s">
        <v>166</v>
      </c>
      <c r="F26" t="s">
        <v>82</v>
      </c>
      <c r="G26" t="s">
        <v>157</v>
      </c>
      <c r="H26" s="5" t="s">
        <v>83</v>
      </c>
      <c r="I26" s="6" t="s">
        <v>67</v>
      </c>
    </row>
    <row r="27" customHeight="1" spans="1:9">
      <c r="A27" t="str">
        <f>PROPER(B27)</f>
        <v>Colon</v>
      </c>
      <c r="B27" t="s">
        <v>29</v>
      </c>
      <c r="C27" t="str">
        <f>UPPER(LEFT(B27))&amp;RIGHT(B27,LEN(B27)-1)</f>
        <v>Colon</v>
      </c>
      <c r="D27" s="18" t="s">
        <v>48</v>
      </c>
      <c r="E27" t="str">
        <f>"`json:"""&amp;B27&amp;"""`"</f>
        <v>`json:"colon"`</v>
      </c>
      <c r="F27" t="s">
        <v>44</v>
      </c>
      <c r="G27" t="s">
        <v>157</v>
      </c>
      <c r="H27" s="5" t="s">
        <v>85</v>
      </c>
      <c r="I27" s="8" t="b">
        <v>0</v>
      </c>
    </row>
    <row r="28" customHeight="1" spans="1:9">
      <c r="A28" t="str">
        <f t="shared" ref="A28:A34" si="0">PROPER(B28)</f>
        <v>Extra</v>
      </c>
      <c r="B28" t="s">
        <v>32</v>
      </c>
      <c r="C28" t="str">
        <f t="shared" ref="C28:C35" si="1">UPPER(LEFT(B28))&amp;RIGHT(B28,LEN(B28)-1)</f>
        <v>Extra</v>
      </c>
      <c r="D28" s="18" t="s">
        <v>48</v>
      </c>
      <c r="E28" t="str">
        <f t="shared" ref="E28:E35" si="2">"`json:"""&amp;B28&amp;"""`"</f>
        <v>`json:"extra"`</v>
      </c>
      <c r="F28" s="19" t="s">
        <v>86</v>
      </c>
      <c r="G28" t="s">
        <v>157</v>
      </c>
      <c r="H28" s="7" t="s">
        <v>87</v>
      </c>
      <c r="I28" s="6" t="s">
        <v>67</v>
      </c>
    </row>
    <row r="29" customHeight="1" spans="1:9">
      <c r="A29" t="str">
        <f t="shared" si="0"/>
        <v>Label</v>
      </c>
      <c r="B29" t="s">
        <v>39</v>
      </c>
      <c r="C29" t="str">
        <f t="shared" si="1"/>
        <v>Label</v>
      </c>
      <c r="D29" s="18" t="s">
        <v>48</v>
      </c>
      <c r="E29" t="str">
        <f t="shared" si="2"/>
        <v>`json:"label"`</v>
      </c>
      <c r="F29" t="s">
        <v>51</v>
      </c>
      <c r="G29" t="s">
        <v>157</v>
      </c>
      <c r="H29" s="5" t="s">
        <v>89</v>
      </c>
      <c r="I29" s="6" t="s">
        <v>90</v>
      </c>
    </row>
    <row r="30" customHeight="1" spans="1:9">
      <c r="A30" t="str">
        <f t="shared" si="0"/>
        <v>Labelcol</v>
      </c>
      <c r="B30" t="s">
        <v>41</v>
      </c>
      <c r="C30" t="str">
        <f t="shared" si="1"/>
        <v>LabelCol</v>
      </c>
      <c r="D30" s="18" t="s">
        <v>48</v>
      </c>
      <c r="E30" t="str">
        <f t="shared" si="2"/>
        <v>`json:"labelCol"`</v>
      </c>
      <c r="F30" t="s">
        <v>91</v>
      </c>
      <c r="G30" t="s">
        <v>157</v>
      </c>
      <c r="H30" s="5" t="s">
        <v>92</v>
      </c>
      <c r="I30" s="6" t="s">
        <v>67</v>
      </c>
    </row>
    <row r="31" customHeight="1" spans="1:9">
      <c r="A31" t="str">
        <f t="shared" si="0"/>
        <v>Required</v>
      </c>
      <c r="B31" t="s">
        <v>44</v>
      </c>
      <c r="C31" t="str">
        <f t="shared" si="1"/>
        <v>Required</v>
      </c>
      <c r="D31" s="18" t="s">
        <v>48</v>
      </c>
      <c r="E31" t="str">
        <f t="shared" si="2"/>
        <v>`json:"required"`</v>
      </c>
      <c r="F31" t="s">
        <v>94</v>
      </c>
      <c r="G31" t="s">
        <v>157</v>
      </c>
      <c r="H31" s="5" t="s">
        <v>95</v>
      </c>
      <c r="I31" s="8" t="b">
        <v>0</v>
      </c>
    </row>
    <row r="32" customHeight="1" spans="1:5">
      <c r="A32" t="str">
        <f t="shared" si="0"/>
        <v>Type</v>
      </c>
      <c r="B32" s="17" t="s">
        <v>51</v>
      </c>
      <c r="C32" t="str">
        <f t="shared" si="1"/>
        <v>Type</v>
      </c>
      <c r="D32" s="18" t="s">
        <v>48</v>
      </c>
      <c r="E32" t="str">
        <f t="shared" si="2"/>
        <v>`json:"type"`</v>
      </c>
    </row>
    <row r="33" customHeight="1" spans="1:5">
      <c r="A33" t="str">
        <f t="shared" si="0"/>
        <v>Name</v>
      </c>
      <c r="B33" s="17" t="s">
        <v>161</v>
      </c>
      <c r="C33" t="str">
        <f t="shared" si="1"/>
        <v>Name</v>
      </c>
      <c r="D33" s="18" t="s">
        <v>48</v>
      </c>
      <c r="E33" t="str">
        <f t="shared" si="2"/>
        <v>`json:"name"`</v>
      </c>
    </row>
    <row r="34" customHeight="1" spans="1:5">
      <c r="A34" t="str">
        <f t="shared" si="0"/>
        <v>Id</v>
      </c>
      <c r="B34" s="17" t="s">
        <v>56</v>
      </c>
      <c r="C34" t="str">
        <f t="shared" si="1"/>
        <v>Id</v>
      </c>
      <c r="D34" s="18" t="s">
        <v>48</v>
      </c>
      <c r="E34" t="str">
        <f t="shared" si="2"/>
        <v>`json:"id"`</v>
      </c>
    </row>
    <row r="35" customHeight="1" spans="2:5">
      <c r="B35" t="s">
        <v>53</v>
      </c>
      <c r="C35" t="str">
        <f t="shared" si="1"/>
        <v>GetFieldDecorator</v>
      </c>
      <c r="D35" s="18" t="s">
        <v>48</v>
      </c>
      <c r="E35" t="str">
        <f t="shared" si="2"/>
        <v>`json:"getFieldDecorator"`</v>
      </c>
    </row>
    <row r="36" customHeight="1" spans="4:4">
      <c r="D36" s="18"/>
    </row>
    <row r="37" customHeight="1" spans="2:5">
      <c r="B37" t="s">
        <v>71</v>
      </c>
      <c r="C37" t="str">
        <f t="shared" ref="C36:C47" si="3">UPPER(LEFT(B37))&amp;RIGHT(B37,LEN(B37)-1)</f>
        <v>Enum</v>
      </c>
      <c r="D37" s="18" t="s">
        <v>48</v>
      </c>
      <c r="E37" t="str">
        <f t="shared" ref="E36:E47" si="4">"`json:"""&amp;B37&amp;"""`"</f>
        <v>`json:"enum"`</v>
      </c>
    </row>
    <row r="38" customHeight="1" spans="2:5">
      <c r="B38" t="s">
        <v>73</v>
      </c>
      <c r="C38" t="str">
        <f t="shared" si="3"/>
        <v>Len</v>
      </c>
      <c r="D38" s="18" t="s">
        <v>48</v>
      </c>
      <c r="E38" t="str">
        <f t="shared" si="4"/>
        <v>`json:"len"`</v>
      </c>
    </row>
    <row r="39" customHeight="1" spans="2:5">
      <c r="B39" t="s">
        <v>76</v>
      </c>
      <c r="C39" t="str">
        <f t="shared" si="3"/>
        <v>Max</v>
      </c>
      <c r="D39" s="18" t="s">
        <v>48</v>
      </c>
      <c r="E39" t="str">
        <f t="shared" si="4"/>
        <v>`json:"max"`</v>
      </c>
    </row>
    <row r="40" customHeight="1" spans="2:5">
      <c r="B40" t="s">
        <v>78</v>
      </c>
      <c r="C40" t="str">
        <f t="shared" si="3"/>
        <v>Message</v>
      </c>
      <c r="D40" s="18" t="s">
        <v>48</v>
      </c>
      <c r="E40" t="str">
        <f t="shared" si="4"/>
        <v>`json:"message"`</v>
      </c>
    </row>
    <row r="41" customHeight="1" spans="2:5">
      <c r="B41" t="s">
        <v>80</v>
      </c>
      <c r="C41" t="str">
        <f t="shared" si="3"/>
        <v>Min</v>
      </c>
      <c r="D41" s="18" t="s">
        <v>48</v>
      </c>
      <c r="E41" t="str">
        <f t="shared" si="4"/>
        <v>`json:"min"`</v>
      </c>
    </row>
    <row r="42" customHeight="1" spans="2:5">
      <c r="B42" t="s">
        <v>82</v>
      </c>
      <c r="C42" t="str">
        <f t="shared" si="3"/>
        <v>Pattern</v>
      </c>
      <c r="D42" s="18" t="s">
        <v>48</v>
      </c>
      <c r="E42" t="str">
        <f t="shared" si="4"/>
        <v>`json:"pattern"`</v>
      </c>
    </row>
    <row r="43" customHeight="1" spans="2:5">
      <c r="B43" t="s">
        <v>44</v>
      </c>
      <c r="C43" t="str">
        <f t="shared" si="3"/>
        <v>Required</v>
      </c>
      <c r="D43" s="18" t="s">
        <v>48</v>
      </c>
      <c r="E43" t="str">
        <f t="shared" si="4"/>
        <v>`json:"required"`</v>
      </c>
    </row>
    <row r="44" customHeight="1" spans="2:5">
      <c r="B44" s="19" t="s">
        <v>86</v>
      </c>
      <c r="C44" t="str">
        <f t="shared" si="3"/>
        <v>Transform</v>
      </c>
      <c r="D44" s="18" t="s">
        <v>48</v>
      </c>
      <c r="E44" t="str">
        <f t="shared" si="4"/>
        <v>`json:"transform"`</v>
      </c>
    </row>
    <row r="45" customHeight="1" spans="2:5">
      <c r="B45" t="s">
        <v>51</v>
      </c>
      <c r="C45" t="str">
        <f t="shared" si="3"/>
        <v>Type</v>
      </c>
      <c r="D45" s="18" t="s">
        <v>48</v>
      </c>
      <c r="E45" t="str">
        <f t="shared" si="4"/>
        <v>`json:"type"`</v>
      </c>
    </row>
    <row r="46" customHeight="1" spans="2:5">
      <c r="B46" t="s">
        <v>91</v>
      </c>
      <c r="C46" t="str">
        <f t="shared" si="3"/>
        <v>Validator</v>
      </c>
      <c r="D46" s="18" t="s">
        <v>48</v>
      </c>
      <c r="E46" t="str">
        <f t="shared" si="4"/>
        <v>`json:"validator"`</v>
      </c>
    </row>
    <row r="47" customHeight="1" spans="2:5">
      <c r="B47" t="s">
        <v>94</v>
      </c>
      <c r="C47" t="str">
        <f t="shared" si="3"/>
        <v>Whitespace</v>
      </c>
      <c r="D47" s="18" t="s">
        <v>48</v>
      </c>
      <c r="E47" t="str">
        <f t="shared" si="4"/>
        <v>`json:"whitespace"`</v>
      </c>
    </row>
    <row r="48" customHeight="1" spans="4:4">
      <c r="D48" s="18"/>
    </row>
    <row r="49" customHeight="1" spans="2:5">
      <c r="B49" t="s">
        <v>51</v>
      </c>
      <c r="C49" t="str">
        <f>UPPER(LEFT(B49))&amp;RIGHT(B49,LEN(B49)-1)</f>
        <v>Type</v>
      </c>
      <c r="D49" s="18" t="s">
        <v>48</v>
      </c>
      <c r="E49" t="str">
        <f>"`json:"""&amp;B49&amp;"""`"</f>
        <v>`json:"type"`</v>
      </c>
    </row>
    <row r="50" customHeight="1" spans="2:5">
      <c r="B50" t="s">
        <v>167</v>
      </c>
      <c r="C50" t="str">
        <f>UPPER(LEFT(B50))&amp;RIGHT(B50,LEN(B50)-1)</f>
        <v>Attr</v>
      </c>
      <c r="D50" s="18" t="s">
        <v>48</v>
      </c>
      <c r="E50" t="str">
        <f>"`json:"""&amp;B50&amp;"""`"</f>
        <v>`json:"attr"`</v>
      </c>
    </row>
    <row r="51" customHeight="1" spans="4:4">
      <c r="D51" s="18"/>
    </row>
    <row r="52" customHeight="1" spans="2:5">
      <c r="B52" s="18" t="s">
        <v>168</v>
      </c>
      <c r="C52" t="str">
        <f>UPPER(LEFT(B52))&amp;RIGHT(B52,LEN(B52)-1)</f>
        <v>FormItem</v>
      </c>
      <c r="D52" s="18" t="s">
        <v>48</v>
      </c>
      <c r="E52" t="str">
        <f>"`json:"""&amp;B52&amp;"""`"</f>
        <v>`json:"FormItem"`</v>
      </c>
    </row>
  </sheetData>
  <hyperlinks>
    <hyperlink ref="H29" r:id="rId1" display="内建校验类型，可选项"/>
    <hyperlink ref="H30" r:id="rId2" display="自定义校验（注意，callback 必须被调用）" tooltip="https://github.com/ant-design/ant-design/issues/5155"/>
  </hyperlink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R25"/>
  <sheetViews>
    <sheetView topLeftCell="K4" workbookViewId="0">
      <selection activeCell="O16" sqref="O16"/>
    </sheetView>
  </sheetViews>
  <sheetFormatPr defaultColWidth="9" defaultRowHeight="28" customHeight="1"/>
  <cols>
    <col min="2" max="2" width="26.125" customWidth="1"/>
    <col min="4" max="4" width="10.125" customWidth="1"/>
    <col min="7" max="7" width="20.875" customWidth="1"/>
    <col min="8" max="8" width="25.25" customWidth="1"/>
    <col min="10" max="10" width="19" customWidth="1"/>
    <col min="12" max="12" width="36.625" customWidth="1"/>
    <col min="13" max="13" width="17.375" customWidth="1"/>
    <col min="14" max="14" width="22.25" customWidth="1"/>
    <col min="15" max="15" width="47.75" customWidth="1"/>
    <col min="16" max="16" width="79.75" customWidth="1"/>
    <col min="18" max="18" width="55.125" customWidth="1"/>
  </cols>
  <sheetData>
    <row r="1" customHeight="1" spans="1:1">
      <c r="A1" t="s">
        <v>169</v>
      </c>
    </row>
    <row r="3" customHeight="1" spans="1:1">
      <c r="A3" t="s">
        <v>170</v>
      </c>
    </row>
    <row r="4" customHeight="1" spans="1:18">
      <c r="A4" s="1" t="s">
        <v>171</v>
      </c>
      <c r="B4" s="1" t="s">
        <v>172</v>
      </c>
      <c r="C4" s="1" t="s">
        <v>173</v>
      </c>
      <c r="D4" s="1" t="s">
        <v>174</v>
      </c>
      <c r="E4" s="1" t="s">
        <v>175</v>
      </c>
      <c r="F4" s="2"/>
      <c r="G4" s="3" t="s">
        <v>176</v>
      </c>
      <c r="H4" s="3" t="s">
        <v>177</v>
      </c>
      <c r="I4" s="13" t="s">
        <v>178</v>
      </c>
      <c r="J4" s="14" t="s">
        <v>179</v>
      </c>
      <c r="K4" s="14" t="s">
        <v>180</v>
      </c>
      <c r="L4" s="14" t="s">
        <v>181</v>
      </c>
      <c r="M4" s="14" t="s">
        <v>182</v>
      </c>
      <c r="N4" s="14" t="s">
        <v>183</v>
      </c>
      <c r="O4" s="3" t="s">
        <v>184</v>
      </c>
      <c r="P4" s="3" t="s">
        <v>185</v>
      </c>
      <c r="Q4" s="3" t="s">
        <v>186</v>
      </c>
      <c r="R4" t="s">
        <v>187</v>
      </c>
    </row>
    <row r="5" customHeight="1" spans="1:18">
      <c r="A5" s="4" t="s">
        <v>71</v>
      </c>
      <c r="B5" s="5" t="s">
        <v>72</v>
      </c>
      <c r="C5" s="6" t="s">
        <v>48</v>
      </c>
      <c r="D5" s="6" t="s">
        <v>67</v>
      </c>
      <c r="E5" s="1" t="s">
        <v>175</v>
      </c>
      <c r="G5" s="3" t="str">
        <f>CONCATENATE("p",$I5,A5)</f>
        <v>pRulesenum</v>
      </c>
      <c r="H5" s="3" t="str">
        <f>CONCATENATE("u",$I5,A5)</f>
        <v>uRulesenum</v>
      </c>
      <c r="I5" s="3" t="s">
        <v>188</v>
      </c>
      <c r="J5" s="3" t="str">
        <f>A5</f>
        <v>enum</v>
      </c>
      <c r="K5" s="3" t="s">
        <v>189</v>
      </c>
      <c r="L5" s="3" t="str">
        <f>B5</f>
        <v>枚举类型</v>
      </c>
      <c r="M5" s="3"/>
      <c r="N5" s="3" t="s">
        <v>190</v>
      </c>
      <c r="O5" s="3" t="str">
        <f>CreateFormHtml(I5,J5,K5,L5,M5)</f>
        <v>&lt;li class="left half hide" id="pRulesenum"&gt;&lt;label class="desc" for="Rulesenum"&gt;Rules enum&lt;a href="#" class="help" title="Rules enum" rel="枚举类型"&gt;(?)&lt;/a&gt;&lt;/label&gt;&lt;input id="Rulesenum" name="Rulesenum"  class="xxl"&gt;&lt;/li&gt;</v>
      </c>
      <c r="P5" s="3" t="str">
        <f>CreateFormJson(I5,J5,K5,L5,M5,N5)</f>
        <v>var uRulesenum= function() {F[IDX].FormItem.getFieldDecorator.rules.enum = $.trim($(this).val());CHANGED = true};$('#Rulesenum').bind({  keyup: uRulesenum,  change: uRulesenum});</v>
      </c>
      <c r="Q5" s="3"/>
      <c r="R5" t="str">
        <f>setPropertieValues(I5,J5,N5)</f>
        <v>if (c.FormItem.getFieldDecorator.rules) {      $('#Rulesenum').val(c.FormItem.getFieldDecorator.rules.enum);        }   </v>
      </c>
    </row>
    <row r="6" customHeight="1" spans="1:18">
      <c r="A6" s="4" t="s">
        <v>73</v>
      </c>
      <c r="B6" s="5" t="s">
        <v>74</v>
      </c>
      <c r="C6" s="6" t="s">
        <v>75</v>
      </c>
      <c r="D6" s="6" t="s">
        <v>67</v>
      </c>
      <c r="E6" s="1" t="s">
        <v>175</v>
      </c>
      <c r="G6" s="3" t="str">
        <f t="shared" ref="G6:G15" si="0">CONCATENATE("p",$I6,A6)</f>
        <v>pRuleslen</v>
      </c>
      <c r="H6" s="3" t="str">
        <f>CONCATENATE("u",$I6,A6)</f>
        <v>uRuleslen</v>
      </c>
      <c r="I6" s="3" t="s">
        <v>188</v>
      </c>
      <c r="J6" s="3" t="str">
        <f>A6</f>
        <v>len</v>
      </c>
      <c r="K6" s="3" t="s">
        <v>189</v>
      </c>
      <c r="L6" s="3" t="str">
        <f t="shared" ref="L6:L15" si="1">B6</f>
        <v>字段长度</v>
      </c>
      <c r="M6" s="3"/>
      <c r="N6" s="3" t="s">
        <v>190</v>
      </c>
      <c r="O6" s="3" t="str">
        <f>CreateFormHtml(I6,J6,K6,L6,M6)</f>
        <v>&lt;li class="left half hide" id="pRuleslen"&gt;&lt;label class="desc" for="Ruleslen"&gt;Rules len&lt;a href="#" class="help" title="Rules len" rel="字段长度"&gt;(?)&lt;/a&gt;&lt;/label&gt;&lt;input id="Ruleslen" name="Ruleslen"  class="xxl"&gt;&lt;/li&gt;</v>
      </c>
      <c r="P6" s="3" t="str">
        <f>CreateFormJson(I6,J6,K6,L6,M6,N6)</f>
        <v>var uRuleslen= function() {F[IDX].FormItem.getFieldDecorator.rules.len = $.trim($(this).val());CHANGED = true};$('#Ruleslen').bind({  keyup: uRuleslen,  change: uRuleslen});</v>
      </c>
      <c r="Q6" s="3" t="str">
        <f>"json: '({""LBL"":"""&amp;"ant"&amp;I6&amp;" "",""TYP"":"""&amp;"ant"&amp;I6&amp;" "",""FLDSZ"":""m"",""REQD"":""0"",""UNIQ"":""0"",""SCU"":""pub"",""Aid"":"""&amp;"ant"&amp;I6&amp;" "",""Content"":"""&amp;"ant"&amp;I6&amp;" ""})',"</f>
        <v>json: '({"LBL":"antRules ","TYP":"antRules ","FLDSZ":"m","REQD":"0","UNIQ":"0","SCU":"pub","Aid":"antRules ","Content":"antRules "})',</v>
      </c>
      <c r="R6" t="str">
        <f>setPropertieValues(I6,J6,N6)</f>
        <v>if (c.FormItem.getFieldDecorator.rules) {      $('#Ruleslen').val(c.FormItem.getFieldDecorator.rules.len);        }   </v>
      </c>
    </row>
    <row r="7" customHeight="1" spans="1:18">
      <c r="A7" s="4" t="s">
        <v>76</v>
      </c>
      <c r="B7" s="5" t="s">
        <v>77</v>
      </c>
      <c r="C7" s="6" t="s">
        <v>75</v>
      </c>
      <c r="D7" s="6" t="s">
        <v>67</v>
      </c>
      <c r="E7" s="1" t="s">
        <v>175</v>
      </c>
      <c r="G7" s="3" t="str">
        <f t="shared" si="0"/>
        <v>pRulesmax</v>
      </c>
      <c r="H7" s="3" t="str">
        <f t="shared" ref="H7:H15" si="2">CONCATENATE("u",$I7,A7)</f>
        <v>uRulesmax</v>
      </c>
      <c r="I7" s="3" t="s">
        <v>188</v>
      </c>
      <c r="J7" s="3" t="str">
        <f t="shared" ref="J7:J15" si="3">A7</f>
        <v>max</v>
      </c>
      <c r="K7" s="3" t="s">
        <v>189</v>
      </c>
      <c r="L7" s="3" t="str">
        <f t="shared" si="1"/>
        <v>最大长度</v>
      </c>
      <c r="M7" s="3"/>
      <c r="N7" s="3" t="s">
        <v>190</v>
      </c>
      <c r="O7" s="3" t="str">
        <f>CreateFormHtml(I7,J7,K7,L7,M7)</f>
        <v>&lt;li class="left half hide" id="pRulesmax"&gt;&lt;label class="desc" for="Rulesmax"&gt;Rules max&lt;a href="#" class="help" title="Rules max" rel="最大长度"&gt;(?)&lt;/a&gt;&lt;/label&gt;&lt;input id="Rulesmax" name="Rulesmax"  class="xxl"&gt;&lt;/li&gt;</v>
      </c>
      <c r="P7" s="3" t="str">
        <f>CreateFormJson(I7,J7,K7,L7,M7,N7)</f>
        <v>var uRulesmax= function() {F[IDX].FormItem.getFieldDecorator.rules.max = $.trim($(this).val());CHANGED = true};$('#Rulesmax').bind({  keyup: uRulesmax,  change: uRulesmax});</v>
      </c>
      <c r="Q7" s="3"/>
      <c r="R7" t="str">
        <f>setPropertieValues(I7,J7,N7)</f>
        <v>if (c.FormItem.getFieldDecorator.rules) {      $('#Rulesmax').val(c.FormItem.getFieldDecorator.rules.max);        }   </v>
      </c>
    </row>
    <row r="8" customHeight="1" spans="1:18">
      <c r="A8" s="4" t="s">
        <v>78</v>
      </c>
      <c r="B8" s="7" t="s">
        <v>79</v>
      </c>
      <c r="C8" s="6" t="s">
        <v>48</v>
      </c>
      <c r="D8" s="6" t="s">
        <v>67</v>
      </c>
      <c r="E8" s="1" t="s">
        <v>175</v>
      </c>
      <c r="G8" s="3" t="str">
        <f t="shared" si="0"/>
        <v>pRulesmessage</v>
      </c>
      <c r="H8" s="3" t="str">
        <f t="shared" si="2"/>
        <v>uRulesmessage</v>
      </c>
      <c r="I8" s="3" t="s">
        <v>188</v>
      </c>
      <c r="J8" s="3" t="str">
        <f t="shared" si="3"/>
        <v>message</v>
      </c>
      <c r="K8" s="3" t="s">
        <v>189</v>
      </c>
      <c r="L8" s="3" t="str">
        <f t="shared" si="1"/>
        <v>校验文案</v>
      </c>
      <c r="M8" s="3"/>
      <c r="N8" s="3" t="s">
        <v>190</v>
      </c>
      <c r="O8" s="3" t="str">
        <f>CreateFormHtml(I8,J8,K8,L8,M8)</f>
        <v>&lt;li class="left half hide" id="pRulesmessage"&gt;&lt;label class="desc" for="Rulesmessage"&gt;Rules message&lt;a href="#" class="help" title="Rules message" rel="校验文案"&gt;(?)&lt;/a&gt;&lt;/label&gt;&lt;input id="Rulesmessage" name="Rulesmessage"  class="xxl"&gt;&lt;/li&gt;</v>
      </c>
      <c r="P8" s="3" t="str">
        <f>CreateFormJson(I8,J8,K8,L8,M8,N8)</f>
        <v>var uRulesmessage= function() {F[IDX].FormItem.getFieldDecorator.rules.message = $.trim($(this).val());CHANGED = true};$('#Rulesmessage').bind({  keyup: uRulesmessage,  change: uRulesmessage});</v>
      </c>
      <c r="Q8" s="3"/>
      <c r="R8" t="str">
        <f>setPropertieValues(I8,J8,N8)</f>
        <v>if (c.FormItem.getFieldDecorator.rules) {      $('#Rulesmessage').val(c.FormItem.getFieldDecorator.rules.message);        }   </v>
      </c>
    </row>
    <row r="9" customHeight="1" spans="1:18">
      <c r="A9" s="4" t="s">
        <v>80</v>
      </c>
      <c r="B9" s="5" t="s">
        <v>81</v>
      </c>
      <c r="C9" s="6" t="s">
        <v>75</v>
      </c>
      <c r="D9" s="6" t="s">
        <v>67</v>
      </c>
      <c r="E9" s="1" t="s">
        <v>175</v>
      </c>
      <c r="G9" s="3" t="str">
        <f t="shared" si="0"/>
        <v>pRulesmin</v>
      </c>
      <c r="H9" s="3" t="str">
        <f t="shared" si="2"/>
        <v>uRulesmin</v>
      </c>
      <c r="I9" s="3" t="s">
        <v>188</v>
      </c>
      <c r="J9" s="3" t="str">
        <f t="shared" si="3"/>
        <v>min</v>
      </c>
      <c r="K9" s="3" t="s">
        <v>189</v>
      </c>
      <c r="L9" s="3" t="str">
        <f t="shared" si="1"/>
        <v>最小长度</v>
      </c>
      <c r="M9" s="3"/>
      <c r="N9" s="3" t="s">
        <v>190</v>
      </c>
      <c r="O9" s="3" t="str">
        <f>CreateFormHtml(I9,J9,K9,L9,M9)</f>
        <v>&lt;li class="left half hide" id="pRulesmin"&gt;&lt;label class="desc" for="Rulesmin"&gt;Rules min&lt;a href="#" class="help" title="Rules min" rel="最小长度"&gt;(?)&lt;/a&gt;&lt;/label&gt;&lt;input id="Rulesmin" name="Rulesmin"  class="xxl"&gt;&lt;/li&gt;</v>
      </c>
      <c r="P9" s="3" t="str">
        <f>CreateFormJson(I9,J9,K9,L9,M9,N9)</f>
        <v>var uRulesmin= function() {F[IDX].FormItem.getFieldDecorator.rules.min = $.trim($(this).val());CHANGED = true};$('#Rulesmin').bind({  keyup: uRulesmin,  change: uRulesmin});</v>
      </c>
      <c r="Q9" s="3"/>
      <c r="R9" t="str">
        <f>setPropertieValues(I9,J9,N9)</f>
        <v>if (c.FormItem.getFieldDecorator.rules) {      $('#Rulesmin').val(c.FormItem.getFieldDecorator.rules.min);        }   </v>
      </c>
    </row>
    <row r="10" customHeight="1" spans="1:18">
      <c r="A10" s="4" t="s">
        <v>82</v>
      </c>
      <c r="B10" s="5" t="s">
        <v>83</v>
      </c>
      <c r="C10" s="6" t="s">
        <v>84</v>
      </c>
      <c r="D10" s="6" t="s">
        <v>67</v>
      </c>
      <c r="E10" s="1" t="s">
        <v>175</v>
      </c>
      <c r="G10" s="3" t="str">
        <f t="shared" si="0"/>
        <v>pRulespattern</v>
      </c>
      <c r="H10" s="3" t="str">
        <f t="shared" si="2"/>
        <v>uRulespattern</v>
      </c>
      <c r="I10" s="3" t="s">
        <v>188</v>
      </c>
      <c r="J10" s="3" t="str">
        <f t="shared" si="3"/>
        <v>pattern</v>
      </c>
      <c r="K10" s="3" t="s">
        <v>189</v>
      </c>
      <c r="L10" s="3" t="str">
        <f t="shared" si="1"/>
        <v>正则表达式校验</v>
      </c>
      <c r="M10" s="3"/>
      <c r="N10" s="3" t="s">
        <v>190</v>
      </c>
      <c r="O10" s="3" t="str">
        <f>CreateFormHtml(I10,J10,K10,L10,M10)</f>
        <v>&lt;li class="left half hide" id="pRulespattern"&gt;&lt;label class="desc" for="Rulespattern"&gt;Rules pattern&lt;a href="#" class="help" title="Rules pattern" rel="正则表达式校验"&gt;(?)&lt;/a&gt;&lt;/label&gt;&lt;input id="Rulespattern" name="Rulespattern"  class="xxl"&gt;&lt;/li&gt;</v>
      </c>
      <c r="P10" s="3" t="str">
        <f>CreateFormJson(I10,J10,K10,L10,M10,N10)</f>
        <v>var uRulespattern= function() {F[IDX].FormItem.getFieldDecorator.rules.pattern = $.trim($(this).val());CHANGED = true};$('#Rulespattern').bind({  keyup: uRulespattern,  change: uRulespattern});</v>
      </c>
      <c r="Q10" s="3"/>
      <c r="R10" t="str">
        <f>setPropertieValues(I10,J10,N10)</f>
        <v>if (c.FormItem.getFieldDecorator.rules) {      $('#Rulespattern').val(c.FormItem.getFieldDecorator.rules.pattern);        }   </v>
      </c>
    </row>
    <row r="11" customHeight="1" spans="1:18">
      <c r="A11" s="4" t="s">
        <v>44</v>
      </c>
      <c r="B11" s="5" t="s">
        <v>85</v>
      </c>
      <c r="C11" s="6" t="s">
        <v>31</v>
      </c>
      <c r="D11" s="8" t="b">
        <v>0</v>
      </c>
      <c r="E11" s="1" t="s">
        <v>175</v>
      </c>
      <c r="G11" s="3" t="str">
        <f t="shared" si="0"/>
        <v>pRulesrequired</v>
      </c>
      <c r="H11" s="3" t="str">
        <f t="shared" si="2"/>
        <v>uRulesrequired</v>
      </c>
      <c r="I11" s="3" t="s">
        <v>188</v>
      </c>
      <c r="J11" s="3" t="str">
        <f t="shared" si="3"/>
        <v>required</v>
      </c>
      <c r="K11" s="3" t="s">
        <v>191</v>
      </c>
      <c r="L11" s="3" t="str">
        <f t="shared" si="1"/>
        <v>是否必选</v>
      </c>
      <c r="M11" s="3" t="s">
        <v>192</v>
      </c>
      <c r="N11" s="3" t="s">
        <v>190</v>
      </c>
      <c r="O11" s="3" t="str">
        <f>CreateFormHtml(I11,J11,K11,L11,M11)</f>
        <v>&lt;li class="left half hide" id="pRulesrequired"&gt;&lt;label class="desc" for="Rulesrequired"&gt;Rules required&lt;a href="#" class="help" title="Rules required" rel="是否必选"&gt;(?)&lt;/a&gt;&lt;/label&gt;&lt;select id="Rulesrequired" name="Rulesrequired"  class="xxl"&gt;&lt;option value="&lt;false&gt;"&gt;&lt;false&gt;&lt;/option&gt;&lt;option value="&lt;true&gt;"&gt;&lt;true&gt;&lt;/option&gt;&lt;/select&gt;&lt;/li&gt;</v>
      </c>
      <c r="P11" s="3" t="str">
        <f>CreateFormJson(I11,J11,K11,L11,M11,N11)</f>
        <v>var uRulesrequired= function() {F[IDX].FormItem.getFieldDecorator.rules.required = $.trim($(this).val());CHANGED = true};$('#Rulesrequired').bind({  keyup: uRulesrequired,  change: uRulesrequired});</v>
      </c>
      <c r="Q11" s="3"/>
      <c r="R11" t="str">
        <f>setPropertieValues(I11,J11,N11)</f>
        <v>if (c.FormItem.getFieldDecorator.rules) {      $('#Rulesrequired').val(c.FormItem.getFieldDecorator.rules.required);        }   </v>
      </c>
    </row>
    <row r="12" customHeight="1" spans="1:18">
      <c r="A12" s="4" t="s">
        <v>86</v>
      </c>
      <c r="B12" s="7" t="s">
        <v>87</v>
      </c>
      <c r="C12" s="6" t="s">
        <v>88</v>
      </c>
      <c r="D12" s="6" t="s">
        <v>67</v>
      </c>
      <c r="E12" s="1" t="s">
        <v>175</v>
      </c>
      <c r="G12" s="3" t="str">
        <f t="shared" si="0"/>
        <v>pRulestransform</v>
      </c>
      <c r="H12" s="3" t="str">
        <f t="shared" si="2"/>
        <v>uRulestransform</v>
      </c>
      <c r="I12" s="3" t="s">
        <v>188</v>
      </c>
      <c r="J12" s="3" t="str">
        <f t="shared" si="3"/>
        <v>transform</v>
      </c>
      <c r="K12" s="3" t="s">
        <v>189</v>
      </c>
      <c r="L12" s="3" t="str">
        <f t="shared" si="1"/>
        <v>校验前转换字段值</v>
      </c>
      <c r="M12" s="3"/>
      <c r="N12" s="3" t="s">
        <v>190</v>
      </c>
      <c r="O12" s="3" t="str">
        <f>CreateFormHtml(I12,J12,K12,L12,M12)</f>
        <v>&lt;li class="left half hide" id="pRulestransform"&gt;&lt;label class="desc" for="Rulestransform"&gt;Rules transform&lt;a href="#" class="help" title="Rules transform" rel="校验前转换字段值"&gt;(?)&lt;/a&gt;&lt;/label&gt;&lt;input id="Rulestransform" name="Rulestransform"  class="xxl"&gt;&lt;/li&gt;</v>
      </c>
      <c r="P12" s="3" t="str">
        <f>CreateFormJson(I12,J12,K12,L12,M12,N12)</f>
        <v>var uRulestransform= function() {F[IDX].FormItem.getFieldDecorator.rules.transform = $.trim($(this).val());CHANGED = true};$('#Rulestransform').bind({  keyup: uRulestransform,  change: uRulestransform});</v>
      </c>
      <c r="Q12" s="3"/>
      <c r="R12" t="str">
        <f>setPropertieValues(I12,J12,N12)</f>
        <v>if (c.FormItem.getFieldDecorator.rules) {      $('#Rulestransform').val(c.FormItem.getFieldDecorator.rules.transform);        }   </v>
      </c>
    </row>
    <row r="13" customHeight="1" spans="1:18">
      <c r="A13" s="4" t="s">
        <v>51</v>
      </c>
      <c r="B13" s="5" t="s">
        <v>89</v>
      </c>
      <c r="C13" s="6" t="s">
        <v>48</v>
      </c>
      <c r="D13" s="6" t="s">
        <v>90</v>
      </c>
      <c r="E13" s="1" t="s">
        <v>175</v>
      </c>
      <c r="G13" s="3" t="str">
        <f t="shared" si="0"/>
        <v>pRulestype</v>
      </c>
      <c r="H13" s="3" t="str">
        <f t="shared" si="2"/>
        <v>uRulestype</v>
      </c>
      <c r="I13" s="3" t="s">
        <v>188</v>
      </c>
      <c r="J13" s="3" t="str">
        <f t="shared" si="3"/>
        <v>type</v>
      </c>
      <c r="K13" s="3" t="s">
        <v>189</v>
      </c>
      <c r="L13" s="3" t="str">
        <f t="shared" si="1"/>
        <v>内建校验类型，可选项</v>
      </c>
      <c r="M13" s="3"/>
      <c r="N13" s="3" t="s">
        <v>190</v>
      </c>
      <c r="O13" s="3" t="str">
        <f>CreateFormHtml(I13,J13,K13,L13,M13)</f>
        <v>&lt;li class="left half hide" id="pRulestype"&gt;&lt;label class="desc" for="Rulestype"&gt;Rules type&lt;a href="#" class="help" title="Rules type" rel="内建校验类型，可选项"&gt;(?)&lt;/a&gt;&lt;/label&gt;&lt;input id="Rulestype" name="Rulestype"  class="xxl"&gt;&lt;/li&gt;</v>
      </c>
      <c r="P13" s="3" t="str">
        <f>CreateFormJson(I13,J13,K13,L13,M13,N13)</f>
        <v>var uRulestype= function() {F[IDX].FormItem.getFieldDecorator.rules.type = $.trim($(this).val());CHANGED = true};$('#Rulestype').bind({  keyup: uRulestype,  change: uRulestype});</v>
      </c>
      <c r="Q13" s="3"/>
      <c r="R13" t="str">
        <f>setPropertieValues(I13,J13,N13)</f>
        <v>if (c.FormItem.getFieldDecorator.rules) {      $('#Rulestype').val(c.FormItem.getFieldDecorator.rules.type);        }   </v>
      </c>
    </row>
    <row r="14" customHeight="1" spans="1:18">
      <c r="A14" s="4" t="s">
        <v>91</v>
      </c>
      <c r="B14" s="5" t="s">
        <v>92</v>
      </c>
      <c r="C14" s="6" t="s">
        <v>93</v>
      </c>
      <c r="D14" s="6" t="s">
        <v>67</v>
      </c>
      <c r="E14" s="1" t="s">
        <v>175</v>
      </c>
      <c r="G14" s="3" t="str">
        <f t="shared" si="0"/>
        <v>pRulesvalidator</v>
      </c>
      <c r="H14" s="3" t="str">
        <f t="shared" si="2"/>
        <v>uRulesvalidator</v>
      </c>
      <c r="I14" s="3" t="s">
        <v>188</v>
      </c>
      <c r="J14" s="3" t="str">
        <f t="shared" si="3"/>
        <v>validator</v>
      </c>
      <c r="K14" s="3" t="s">
        <v>189</v>
      </c>
      <c r="L14" s="3" t="str">
        <f t="shared" si="1"/>
        <v>自定义校验（注意，callback 必须被调用）</v>
      </c>
      <c r="M14" s="3"/>
      <c r="N14" s="3" t="s">
        <v>190</v>
      </c>
      <c r="O14" s="3" t="str">
        <f>CreateFormHtml(I14,J14,K14,L14,M14)</f>
        <v>&lt;li class="left half hide" id="pRulesvalidator"&gt;&lt;label class="desc" for="Rulesvalidator"&gt;Rules validator&lt;a href="#" class="help" title="Rules validator" rel="自定义校验（注意，callback 必须被调用）"&gt;(?)&lt;/a&gt;&lt;/label&gt;&lt;input id="Rulesvalidator" name="Rulesvalidator"  class="xxl"&gt;&lt;/li&gt;</v>
      </c>
      <c r="P14" s="3" t="str">
        <f>CreateFormJson(I14,J14,K14,L14,M14,N14)</f>
        <v>var uRulesvalidator= function() {F[IDX].FormItem.getFieldDecorator.rules.validator = $.trim($(this).val());CHANGED = true};$('#Rulesvalidator').bind({  keyup: uRulesvalidator,  change: uRulesvalidator});</v>
      </c>
      <c r="Q14" s="3"/>
      <c r="R14" t="str">
        <f>setPropertieValues(I14,J14,N14)</f>
        <v>if (c.FormItem.getFieldDecorator.rules) {      $('#Rulesvalidator').val(c.FormItem.getFieldDecorator.rules.validator);        }   </v>
      </c>
    </row>
    <row r="15" customHeight="1" spans="1:18">
      <c r="A15" s="4" t="s">
        <v>94</v>
      </c>
      <c r="B15" s="5" t="s">
        <v>95</v>
      </c>
      <c r="C15" s="6" t="s">
        <v>31</v>
      </c>
      <c r="D15" s="8" t="b">
        <v>0</v>
      </c>
      <c r="E15" s="1" t="s">
        <v>175</v>
      </c>
      <c r="G15" s="3" t="str">
        <f t="shared" si="0"/>
        <v>pRuleswhitespace</v>
      </c>
      <c r="H15" s="3" t="str">
        <f t="shared" si="2"/>
        <v>uRuleswhitespace</v>
      </c>
      <c r="I15" s="3" t="s">
        <v>188</v>
      </c>
      <c r="J15" s="3" t="str">
        <f t="shared" si="3"/>
        <v>whitespace</v>
      </c>
      <c r="K15" s="3" t="s">
        <v>191</v>
      </c>
      <c r="L15" s="3" t="str">
        <f t="shared" si="1"/>
        <v>必选时，空格是否会被视为错误</v>
      </c>
      <c r="M15" s="3" t="s">
        <v>192</v>
      </c>
      <c r="N15" s="3" t="s">
        <v>190</v>
      </c>
      <c r="O15" s="3" t="str">
        <f>CreateFormHtml(I15,J15,K15,L15,M15)</f>
        <v>&lt;li class="left half hide" id="pRuleswhitespace"&gt;&lt;label class="desc" for="Ruleswhitespace"&gt;Rules whitespace&lt;a href="#" class="help" title="Rules whitespace" rel="必选时，空格是否会被视为错误"&gt;(?)&lt;/a&gt;&lt;/label&gt;&lt;select id="Ruleswhitespace" name="Ruleswhitespace"  class="xxl"&gt;&lt;option value="&lt;false&gt;"&gt;&lt;false&gt;&lt;/option&gt;&lt;option value="&lt;true&gt;"&gt;&lt;true&gt;&lt;/option&gt;&lt;/select&gt;&lt;/li&gt;</v>
      </c>
      <c r="P15" s="3" t="str">
        <f>CreateFormJson(I15,J15,K15,L15,M15,N15)</f>
        <v>var uRuleswhitespace= function() {F[IDX].FormItem.getFieldDecorator.rules.whitespace = $.trim($(this).val());CHANGED = true};$('#Ruleswhitespace').bind({  keyup: uRuleswhitespace,  change: uRuleswhitespace});</v>
      </c>
      <c r="Q15" s="3"/>
      <c r="R15" t="str">
        <f>setPropertieValues(I15,J15,N15)</f>
        <v>if (c.FormItem.getFieldDecorator.rules) {      $('#Ruleswhitespace').val(c.FormItem.getFieldDecorator.rules.whitespace);        }   </v>
      </c>
    </row>
    <row r="18" customHeight="1" spans="1:18">
      <c r="A18" s="1" t="s">
        <v>171</v>
      </c>
      <c r="B18" s="1" t="s">
        <v>172</v>
      </c>
      <c r="C18" s="1" t="s">
        <v>173</v>
      </c>
      <c r="D18" s="1" t="s">
        <v>174</v>
      </c>
      <c r="E18" s="1" t="s">
        <v>175</v>
      </c>
      <c r="F18" s="2"/>
      <c r="G18" s="3" t="s">
        <v>176</v>
      </c>
      <c r="H18" s="3" t="s">
        <v>177</v>
      </c>
      <c r="I18" s="13" t="s">
        <v>178</v>
      </c>
      <c r="J18" s="14" t="s">
        <v>179</v>
      </c>
      <c r="K18" s="14" t="s">
        <v>180</v>
      </c>
      <c r="L18" s="14" t="s">
        <v>181</v>
      </c>
      <c r="M18" s="14" t="s">
        <v>182</v>
      </c>
      <c r="N18" s="14" t="s">
        <v>183</v>
      </c>
      <c r="O18" s="3" t="s">
        <v>184</v>
      </c>
      <c r="P18" s="3" t="s">
        <v>193</v>
      </c>
      <c r="Q18" s="3" t="s">
        <v>186</v>
      </c>
      <c r="R18" t="s">
        <v>187</v>
      </c>
    </row>
    <row r="19" customHeight="1" spans="1:18">
      <c r="A19" s="4" t="s">
        <v>29</v>
      </c>
      <c r="B19" s="5" t="s">
        <v>30</v>
      </c>
      <c r="C19" s="6" t="s">
        <v>31</v>
      </c>
      <c r="D19" s="6" t="b">
        <v>1</v>
      </c>
      <c r="E19" s="3"/>
      <c r="F19" s="3"/>
      <c r="G19" s="3" t="str">
        <f t="shared" ref="G19:G25" si="4">CONCATENATE("p",$I19,A19)</f>
        <v>pFormItemcolon</v>
      </c>
      <c r="H19" s="3" t="str">
        <f t="shared" ref="H19:H25" si="5">CONCATENATE("u",$I19,A19)</f>
        <v>uFormItemcolon</v>
      </c>
      <c r="I19" s="3" t="s">
        <v>168</v>
      </c>
      <c r="J19" s="3" t="str">
        <f t="shared" ref="J19:J25" si="6">A19</f>
        <v>colon</v>
      </c>
      <c r="K19" s="3" t="s">
        <v>191</v>
      </c>
      <c r="L19" s="3" t="str">
        <f t="shared" ref="L19:L24" si="7">B19</f>
        <v>配合 label 属性使用，表示是否显示 label 后面的冒号</v>
      </c>
      <c r="M19" s="3" t="s">
        <v>194</v>
      </c>
      <c r="N19" s="3" t="s">
        <v>168</v>
      </c>
      <c r="O19" s="3" t="str">
        <f>CreateFormHtml(I19,J19,K19,L19,M19)</f>
        <v>&lt;li class="left half hide" id="pFormItemcolon"&gt;&lt;label class="desc" for="FormItemcolon"&gt;FormItem colon&lt;a href="#" class="help" title="FormItem colon" rel="配合 label 属性使用，表示是否显示 label 后面的冒号"&gt;(?)&lt;/a&gt;&lt;/label&gt;&lt;select id="FormItemcolon" name="FormItemcolon"  class="xxl"&gt;&lt;option value="true"&gt;true&lt;/option&gt;&lt;option value="false"&gt;false&lt;/option&gt;&lt;/select&gt;&lt;/li&gt;</v>
      </c>
      <c r="P19" s="3" t="str">
        <f>CreateFormJson(I19,J19,K19,L19,M19,N19)</f>
        <v>var uFormItemcolon= function() {F[IDX].FormItem.colon = $.trim($(this).val());CHANGED = true};$('#FormItemcolon').bind({  keyup: uFormItemcolon,  change: uFormItemcolon});</v>
      </c>
      <c r="Q19" s="3"/>
      <c r="R19" t="str">
        <f>setPropertieValues(I19,J19,N19)</f>
        <v>if (c.FormItem) {      $('#FormItemcolon').val(c.FormItem.colon);        }   </v>
      </c>
    </row>
    <row r="20" customHeight="1" spans="1:18">
      <c r="A20" s="4" t="s">
        <v>32</v>
      </c>
      <c r="B20" s="5" t="s">
        <v>33</v>
      </c>
      <c r="C20" s="6" t="s">
        <v>34</v>
      </c>
      <c r="D20" s="6"/>
      <c r="E20" s="3"/>
      <c r="F20" s="3"/>
      <c r="G20" s="3" t="str">
        <f t="shared" si="4"/>
        <v>pFormItemextra</v>
      </c>
      <c r="H20" s="3" t="str">
        <f t="shared" si="5"/>
        <v>uFormItemextra</v>
      </c>
      <c r="I20" s="3" t="s">
        <v>168</v>
      </c>
      <c r="J20" s="3" t="str">
        <f t="shared" si="6"/>
        <v>extra</v>
      </c>
      <c r="K20" s="3" t="s">
        <v>189</v>
      </c>
      <c r="L20" s="3" t="str">
        <f t="shared" si="7"/>
        <v>额外的提示信息，和 help 类似，当需要错误信息和提示文案同时出现时，可以使用这个。</v>
      </c>
      <c r="M20" s="3"/>
      <c r="N20" s="3" t="s">
        <v>168</v>
      </c>
      <c r="O20" s="3" t="str">
        <f>CreateFormHtml(I20,J20,K20,L20,M20)</f>
        <v>&lt;li class="left half hide" id="pFormItemextra"&gt;&lt;label class="desc" for="FormItemextra"&gt;FormItem extra&lt;a href="#" class="help" title="FormItem extra" rel="额外的提示信息，和 help 类似，当需要错误信息和提示文案同时出现时，可以使用这个。"&gt;(?)&lt;/a&gt;&lt;/label&gt;&lt;input id="FormItemextra" name="FormItemextra"  class="xxl"&gt;&lt;/li&gt;</v>
      </c>
      <c r="P20" s="3" t="str">
        <f>CreateFormJson(I20,J20,K20,L20,M20,N20)</f>
        <v>var uFormItemextra= function() {F[IDX].FormItem.extra = $.trim($(this).val());CHANGED = true};$('#FormItemextra').bind({  keyup: uFormItemextra,  change: uFormItemextra});</v>
      </c>
      <c r="Q20" s="3"/>
      <c r="R20" t="str">
        <f>setPropertieValues(I20,J20,N20)</f>
        <v>if (c.FormItem) {      $('#FormItemextra').val(c.FormItem.extra);        }   </v>
      </c>
    </row>
    <row r="21" customHeight="1" spans="1:18">
      <c r="A21" s="4" t="s">
        <v>39</v>
      </c>
      <c r="B21" s="5" t="s">
        <v>40</v>
      </c>
      <c r="C21" s="6" t="s">
        <v>34</v>
      </c>
      <c r="D21" s="6"/>
      <c r="E21" s="3"/>
      <c r="F21" s="3"/>
      <c r="G21" s="3" t="str">
        <f t="shared" si="4"/>
        <v>pFormItemlabel</v>
      </c>
      <c r="H21" s="3" t="str">
        <f t="shared" si="5"/>
        <v>uFormItemlabel</v>
      </c>
      <c r="I21" s="3" t="s">
        <v>168</v>
      </c>
      <c r="J21" s="3" t="str">
        <f t="shared" si="6"/>
        <v>label</v>
      </c>
      <c r="K21" s="3" t="s">
        <v>189</v>
      </c>
      <c r="L21" s="3" t="str">
        <f t="shared" si="7"/>
        <v>label 标签的文本</v>
      </c>
      <c r="M21" s="3"/>
      <c r="N21" s="3" t="s">
        <v>168</v>
      </c>
      <c r="O21" s="3" t="str">
        <f>CreateFormHtml(I21,J21,K21,L21,M21)</f>
        <v>&lt;li class="left half hide" id="pFormItemlabel"&gt;&lt;label class="desc" for="FormItemlabel"&gt;FormItem label&lt;a href="#" class="help" title="FormItem label" rel="label 标签的文本"&gt;(?)&lt;/a&gt;&lt;/label&gt;&lt;input id="FormItemlabel" name="FormItemlabel"  class="xxl"&gt;&lt;/li&gt;</v>
      </c>
      <c r="P21" s="3" t="str">
        <f>CreateFormJson(I21,J21,K21,L21,M21,N21)</f>
        <v>var uFormItemlabel= function() {F[IDX].FormItem.label = $.trim($(this).val());CHANGED = true};$('#FormItemlabel').bind({  keyup: uFormItemlabel,  change: uFormItemlabel});</v>
      </c>
      <c r="Q21" s="3"/>
      <c r="R21" t="str">
        <f>setPropertieValues(I21,J21,N21)</f>
        <v>if (c.FormItem) {      $('#FormItemlabel').val(c.FormItem.label);        }   </v>
      </c>
    </row>
    <row r="22" customHeight="1" spans="1:18">
      <c r="A22" s="4" t="s">
        <v>41</v>
      </c>
      <c r="B22" s="5" t="s">
        <v>195</v>
      </c>
      <c r="C22" s="9" t="s">
        <v>43</v>
      </c>
      <c r="D22" s="6"/>
      <c r="E22" s="3"/>
      <c r="F22" s="3"/>
      <c r="G22" s="3" t="str">
        <f t="shared" si="4"/>
        <v>pFormItemlabelCol</v>
      </c>
      <c r="H22" s="3" t="str">
        <f t="shared" si="5"/>
        <v>uFormItemlabelCol</v>
      </c>
      <c r="I22" s="3" t="s">
        <v>168</v>
      </c>
      <c r="J22" s="3" t="str">
        <f t="shared" si="6"/>
        <v>labelCol</v>
      </c>
      <c r="K22" s="3" t="s">
        <v>189</v>
      </c>
      <c r="L22" s="3" t="str">
        <f t="shared" si="7"/>
        <v>label 标签布局，同 &lt;Col&gt; 组件，设置 spanoffset 值，如 {span: 3, offset: 12} 或 sm: {span: 3, offset: 12}</v>
      </c>
      <c r="M22" s="3"/>
      <c r="N22" s="3" t="s">
        <v>168</v>
      </c>
      <c r="O22" s="3" t="str">
        <f>CreateFormHtml(I22,J22,K22,L22,M22)</f>
        <v>&lt;li class="left half hide" id="pFormItemlabelCol"&gt;&lt;label class="desc" for="FormItemlabelCol"&gt;FormItem labelCol&lt;a href="#" class="help" title="FormItem labelCol" rel="label 标签布局，同 &lt;Col&gt; 组件，设置 spanoffset 值，如 {span: 3, offset: 12} 或 sm: {span: 3, offset: 12}"&gt;(?)&lt;/a&gt;&lt;/label&gt;&lt;input id="FormItemlabelCol" name="FormItemlabelCol"  class="xxl"&gt;&lt;/li&gt;</v>
      </c>
      <c r="P22" s="3" t="str">
        <f>CreateFormJson(I22,J22,K22,L22,M22,N22)</f>
        <v>var uFormItemlabelCol= function() {F[IDX].FormItem.labelCol = $.trim($(this).val());CHANGED = true};$('#FormItemlabelCol').bind({  keyup: uFormItemlabelCol,  change: uFormItemlabelCol});</v>
      </c>
      <c r="Q22" s="3"/>
      <c r="R22" t="str">
        <f>setPropertieValues(I22,J22,N22)</f>
        <v>if (c.FormItem) {      $('#FormItemlabelCol').val(c.FormItem.labelCol);        }   </v>
      </c>
    </row>
    <row r="23" customHeight="1" spans="1:18">
      <c r="A23" s="4" t="s">
        <v>49</v>
      </c>
      <c r="B23" s="10" t="s">
        <v>50</v>
      </c>
      <c r="C23" s="9" t="s">
        <v>43</v>
      </c>
      <c r="D23" s="11"/>
      <c r="E23" s="3"/>
      <c r="F23" s="3"/>
      <c r="G23" s="3" t="str">
        <f t="shared" si="4"/>
        <v>pFormItemwrapperCol</v>
      </c>
      <c r="H23" s="3" t="str">
        <f t="shared" si="5"/>
        <v>uFormItemwrapperCol</v>
      </c>
      <c r="I23" s="3" t="s">
        <v>168</v>
      </c>
      <c r="J23" s="3" t="str">
        <f t="shared" si="6"/>
        <v>wrapperCol</v>
      </c>
      <c r="K23" s="3" t="s">
        <v>189</v>
      </c>
      <c r="L23" s="3" t="str">
        <f t="shared" si="7"/>
        <v>需要为输入控件设置布局样式时，使用该属性，用法同 labelCol</v>
      </c>
      <c r="M23" s="3"/>
      <c r="N23" s="3" t="s">
        <v>168</v>
      </c>
      <c r="O23" s="3" t="str">
        <f>CreateFormHtml(I23,J23,K23,L23,M23)</f>
        <v>&lt;li class="left half hide" id="pFormItemwrapperCol"&gt;&lt;label class="desc" for="FormItemwrapperCol"&gt;FormItem wrapperCol&lt;a href="#" class="help" title="FormItem wrapperCol" rel="需要为输入控件设置布局样式时，使用该属性，用法同 labelCol"&gt;(?)&lt;/a&gt;&lt;/label&gt;&lt;input id="FormItemwrapperCol" name="FormItemwrapperCol"  class="xxl"&gt;&lt;/li&gt;</v>
      </c>
      <c r="P23" s="3" t="str">
        <f>CreateFormJson(I23,J23,K23,L23,M23,N23)</f>
        <v>var uFormItemwrapperCol= function() {F[IDX].FormItem.wrapperCol = $.trim($(this).val());CHANGED = true};$('#FormItemwrapperCol').bind({  keyup: uFormItemwrapperCol,  change: uFormItemwrapperCol});</v>
      </c>
      <c r="Q23" s="3"/>
      <c r="R23" t="str">
        <f>setPropertieValues(I23,J23,N23)</f>
        <v>if (c.FormItem) {      $('#FormItemwrapperCol').val(c.FormItem.wrapperCol);        }   </v>
      </c>
    </row>
    <row r="24" customHeight="1" spans="1:18">
      <c r="A24" s="12" t="s">
        <v>51</v>
      </c>
      <c r="B24" s="3" t="s">
        <v>52</v>
      </c>
      <c r="C24" s="6" t="s">
        <v>48</v>
      </c>
      <c r="D24" s="3"/>
      <c r="E24" s="3"/>
      <c r="F24" s="3"/>
      <c r="G24" s="3" t="str">
        <f t="shared" si="4"/>
        <v>pFormItemtype</v>
      </c>
      <c r="H24" s="3" t="str">
        <f t="shared" si="5"/>
        <v>uFormItemtype</v>
      </c>
      <c r="I24" s="3" t="s">
        <v>168</v>
      </c>
      <c r="J24" s="3" t="str">
        <f t="shared" si="6"/>
        <v>type</v>
      </c>
      <c r="K24" s="3" t="s">
        <v>189</v>
      </c>
      <c r="L24" s="3" t="str">
        <f t="shared" si="7"/>
        <v>(输入框的类型先完成Input和Button 默认是Input,如果是Button就不用 getFieldDecorator)</v>
      </c>
      <c r="M24" s="3"/>
      <c r="N24" s="3" t="s">
        <v>168</v>
      </c>
      <c r="O24" s="3" t="str">
        <f>CreateFormHtml(I24,J24,K24,L24,M24)</f>
        <v>&lt;li class="left half hide" id="pFormItemtype"&gt;&lt;label class="desc" for="FormItemtype"&gt;FormItem type&lt;a href="#" class="help" title="FormItem type" rel="(输入框的类型先完成Input和Button 默认是Input,如果是Button就不用 getFieldDecorator)"&gt;(?)&lt;/a&gt;&lt;/label&gt;&lt;input id="FormItemtype" name="FormItemtype"  class="xxl"&gt;&lt;/li&gt;</v>
      </c>
      <c r="P24" s="3" t="str">
        <f>CreateFormJson(I24,J24,K24,L24,M24,N24)</f>
        <v>var uFormItemtype= function() {F[IDX].FormItem.type = $.trim($(this).val());CHANGED = true};$('#FormItemtype').bind({  keyup: uFormItemtype,  change: uFormItemtype});</v>
      </c>
      <c r="Q24" s="3"/>
      <c r="R24" t="str">
        <f>setPropertieValues(I24,J24,N24)</f>
        <v>if (c.FormItem) {      $('#FormItemtype').val(c.FormItem.type);        }   </v>
      </c>
    </row>
    <row r="25" customHeight="1" spans="1:18">
      <c r="A25" t="s">
        <v>161</v>
      </c>
      <c r="C25" s="6" t="s">
        <v>48</v>
      </c>
      <c r="G25" s="3" t="str">
        <f t="shared" si="4"/>
        <v>pFormItemname</v>
      </c>
      <c r="H25" s="3" t="str">
        <f t="shared" si="5"/>
        <v>uFormItemname</v>
      </c>
      <c r="I25" s="3" t="s">
        <v>168</v>
      </c>
      <c r="J25" s="3" t="str">
        <f t="shared" si="6"/>
        <v>name</v>
      </c>
      <c r="K25" s="3" t="s">
        <v>189</v>
      </c>
      <c r="L25" s="3" t="s">
        <v>196</v>
      </c>
      <c r="M25" s="3"/>
      <c r="N25" s="3" t="s">
        <v>168</v>
      </c>
      <c r="O25" s="3" t="str">
        <f>CreateFormHtml(I25,J25,K25,L25,M25)</f>
        <v>&lt;li class="left half hide" id="pFormItemname"&gt;&lt;label class="desc" for="FormItemname"&gt;FormItem name&lt;a href="#" class="help" title="FormItem name" rel="设置控件的名称和Dom Id(不可以重复,不能包含特殊符号,且是英文,)"&gt;(?)&lt;/a&gt;&lt;/label&gt;&lt;input id="FormItemname" name="FormItemname"  class="xxl"&gt;&lt;/li&gt;</v>
      </c>
      <c r="P25" s="3" t="str">
        <f>CreateFormJson(I25,J25,K25,L25,M25,N25)</f>
        <v>var uFormItemname= function() {F[IDX].FormItem.name = $.trim($(this).val());CHANGED = true};$('#FormItemname').bind({  keyup: uFormItemname,  change: uFormItemname});</v>
      </c>
      <c r="Q25" s="3"/>
      <c r="R25" t="str">
        <f>setPropertieValues(I25,J25,N25)</f>
        <v>if (c.FormItem) {      $('#FormItemname').val(c.FormItem.name);        }   </v>
      </c>
    </row>
  </sheetData>
  <dataValidations count="1">
    <dataValidation type="list" allowBlank="1" showInputMessage="1" showErrorMessage="1" sqref="K5 K19 K6:K15 K20:K23 K24:K25">
      <formula1>"文本,下拉框"</formula1>
    </dataValidation>
  </dataValidations>
  <hyperlinks>
    <hyperlink ref="B13" r:id="rId1" display="内建校验类型，可选项"/>
    <hyperlink ref="B14" r:id="rId2" display="自定义校验（注意，callback 必须被调用）" tooltip="https://github.com/ant-design/ant-design/issues/5155"/>
    <hyperlink ref="C22" r:id="rId3" display="object"/>
    <hyperlink ref="C23" r:id="rId3" display="object"/>
  </hyperlink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8"/>
  <sheetViews>
    <sheetView tabSelected="1" workbookViewId="0">
      <selection activeCell="C15" sqref="C15"/>
    </sheetView>
  </sheetViews>
  <sheetFormatPr defaultColWidth="17.625" defaultRowHeight="13.5" outlineLevelRow="7" outlineLevelCol="3"/>
  <cols>
    <col min="1" max="1" width="17.625" customWidth="1"/>
    <col min="2" max="2" width="35.625" customWidth="1"/>
    <col min="3" max="3" width="34.5" customWidth="1"/>
    <col min="4" max="16384" width="17.625" customWidth="1"/>
  </cols>
  <sheetData>
    <row r="1" spans="2:4">
      <c r="B1" t="s">
        <v>186</v>
      </c>
      <c r="C1" t="s">
        <v>197</v>
      </c>
      <c r="D1" t="s">
        <v>198</v>
      </c>
    </row>
    <row r="2" spans="1:4">
      <c r="A2" t="s">
        <v>199</v>
      </c>
      <c r="B2" t="str">
        <f>CONCATENATE(",""",A2,"""",":","""""")</f>
        <v>,"pFormItemcolon":""</v>
      </c>
      <c r="C2" t="str">
        <f>"'"&amp;A2&amp;"',"</f>
        <v>'pFormItemcolon',</v>
      </c>
      <c r="D2" t="e">
        <f>CONCATENATE(#REF!,"=","""""")</f>
        <v>#REF!</v>
      </c>
    </row>
    <row r="3" spans="1:4">
      <c r="A3" t="s">
        <v>200</v>
      </c>
      <c r="B3" t="str">
        <f t="shared" ref="B3:B8" si="0">CONCATENATE(",""",A3,"""",":","""""")</f>
        <v>,"pFormItemextra":""</v>
      </c>
      <c r="C3" t="str">
        <f t="shared" ref="C3:C8" si="1">"'"&amp;A3&amp;"',"</f>
        <v>'pFormItemextra',</v>
      </c>
      <c r="D3" t="e">
        <f>CONCATENATE(#REF!,"=","""""")</f>
        <v>#REF!</v>
      </c>
    </row>
    <row r="4" spans="1:4">
      <c r="A4" t="s">
        <v>201</v>
      </c>
      <c r="B4" t="str">
        <f t="shared" si="0"/>
        <v>,"pFormItemlabel":""</v>
      </c>
      <c r="C4" t="str">
        <f t="shared" si="1"/>
        <v>'pFormItemlabel',</v>
      </c>
      <c r="D4" t="e">
        <f>CONCATENATE(#REF!,"=","""""")</f>
        <v>#REF!</v>
      </c>
    </row>
    <row r="5" spans="1:4">
      <c r="A5" t="s">
        <v>202</v>
      </c>
      <c r="B5" t="str">
        <f t="shared" si="0"/>
        <v>,"pFormItemlabelCol":""</v>
      </c>
      <c r="C5" t="str">
        <f t="shared" si="1"/>
        <v>'pFormItemlabelCol',</v>
      </c>
      <c r="D5" t="e">
        <f>CONCATENATE(#REF!,"=","""""")</f>
        <v>#REF!</v>
      </c>
    </row>
    <row r="6" spans="1:4">
      <c r="A6" t="s">
        <v>203</v>
      </c>
      <c r="B6" t="str">
        <f t="shared" si="0"/>
        <v>,"pFormItemwrapperCol":""</v>
      </c>
      <c r="C6" t="str">
        <f t="shared" si="1"/>
        <v>'pFormItemwrapperCol',</v>
      </c>
      <c r="D6" t="e">
        <f>CONCATENATE(#REF!,"=","""""")</f>
        <v>#REF!</v>
      </c>
    </row>
    <row r="7" spans="1:4">
      <c r="A7" t="s">
        <v>204</v>
      </c>
      <c r="B7" t="str">
        <f t="shared" si="0"/>
        <v>,"pFormItemtype":""</v>
      </c>
      <c r="C7" t="str">
        <f t="shared" si="1"/>
        <v>'pFormItemtype',</v>
      </c>
      <c r="D7" t="e">
        <f>CONCATENATE(#REF!,"=","""""")</f>
        <v>#REF!</v>
      </c>
    </row>
    <row r="8" spans="1:4">
      <c r="A8" t="s">
        <v>205</v>
      </c>
      <c r="B8" t="str">
        <f t="shared" si="0"/>
        <v>,"pFormItemname":""</v>
      </c>
      <c r="C8" t="str">
        <f t="shared" si="1"/>
        <v>'pFormItemname',</v>
      </c>
      <c r="D8" t="e">
        <f>CONCATENATE(#REF!,"=","""""")</f>
        <v>#REF!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API文档</vt:lpstr>
      <vt:lpstr>json格式</vt:lpstr>
      <vt:lpstr>自动化脚本</vt:lpstr>
      <vt:lpstr>工具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俊杰奋进</cp:lastModifiedBy>
  <dcterms:created xsi:type="dcterms:W3CDTF">2018-05-10T06:55:00Z</dcterms:created>
  <dcterms:modified xsi:type="dcterms:W3CDTF">2018-05-21T10:10:20Z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